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mb-my.sharepoint.com/personal/nichola_hill_umb_edu/Documents/VirusPlusLab/Projects/Surveillance/Appledore_gulls/2025/"/>
    </mc:Choice>
  </mc:AlternateContent>
  <xr:revisionPtr revIDLastSave="981" documentId="8_{4BA8E8FC-9D92-4D40-8A6A-8F2E92C0002C}" xr6:coauthVersionLast="47" xr6:coauthVersionMax="47" xr10:uidLastSave="{17F38453-81CA-5849-A5B6-144971840D98}"/>
  <bookViews>
    <workbookView xWindow="1100" yWindow="820" windowWidth="28040" windowHeight="17440" xr2:uid="{F7268AC1-FEDA-5248-8DA2-CA7B3ACC8D9F}"/>
  </bookViews>
  <sheets>
    <sheet name="GBBG" sheetId="1" r:id="rId1"/>
    <sheet name="HER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4" i="1" l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F66" i="1"/>
  <c r="F65" i="1"/>
  <c r="F64" i="1"/>
  <c r="F63" i="1"/>
  <c r="F62" i="1"/>
  <c r="F61" i="1"/>
  <c r="F60" i="1"/>
  <c r="F59" i="1"/>
  <c r="F58" i="1"/>
  <c r="F56" i="1"/>
  <c r="F57" i="1"/>
  <c r="F55" i="1"/>
  <c r="F54" i="1"/>
  <c r="F53" i="1"/>
  <c r="F52" i="1"/>
  <c r="F51" i="1"/>
  <c r="F50" i="1"/>
  <c r="F49" i="1"/>
</calcChain>
</file>

<file path=xl/sharedStrings.xml><?xml version="1.0" encoding="utf-8"?>
<sst xmlns="http://schemas.openxmlformats.org/spreadsheetml/2006/main" count="1112" uniqueCount="482">
  <si>
    <t>Date</t>
  </si>
  <si>
    <t>NestID</t>
  </si>
  <si>
    <t>N/R</t>
  </si>
  <si>
    <t>Start_Time</t>
  </si>
  <si>
    <t>Foot_T1</t>
  </si>
  <si>
    <t>Federal_Band</t>
  </si>
  <si>
    <t>Field_Band</t>
  </si>
  <si>
    <t>Lysis</t>
  </si>
  <si>
    <t>Shield_Blood</t>
  </si>
  <si>
    <t>Serum</t>
  </si>
  <si>
    <t>Tarsus</t>
  </si>
  <si>
    <t>Cloacal_(Kristen)</t>
  </si>
  <si>
    <t>Feather_(Kristen)</t>
  </si>
  <si>
    <t>Mass</t>
  </si>
  <si>
    <t>Bag_Mass</t>
  </si>
  <si>
    <t>Adjusted_Mass</t>
  </si>
  <si>
    <t>Oral</t>
  </si>
  <si>
    <t>Head_Bill</t>
  </si>
  <si>
    <t>Culmen</t>
  </si>
  <si>
    <t>Foot_T2</t>
  </si>
  <si>
    <t>End_Time</t>
  </si>
  <si>
    <t>Fecal_Vial</t>
  </si>
  <si>
    <t>Location/Notes</t>
  </si>
  <si>
    <t>25G52</t>
  </si>
  <si>
    <t>N</t>
  </si>
  <si>
    <t>2017-82238</t>
  </si>
  <si>
    <t>0KC</t>
  </si>
  <si>
    <t>Y</t>
  </si>
  <si>
    <t>25SU20058</t>
  </si>
  <si>
    <t>25SU00022</t>
  </si>
  <si>
    <t>NA</t>
  </si>
  <si>
    <t>B-CHICK, REGURGITATION</t>
  </si>
  <si>
    <t>25G51</t>
  </si>
  <si>
    <t>2017-82240</t>
  </si>
  <si>
    <t>2017-82239</t>
  </si>
  <si>
    <t>1CA</t>
  </si>
  <si>
    <t>25SU20059</t>
  </si>
  <si>
    <t>25SU00021</t>
  </si>
  <si>
    <t>A-CHICK</t>
  </si>
  <si>
    <t>2CA</t>
  </si>
  <si>
    <t>25SU20060</t>
  </si>
  <si>
    <t>25SU00024</t>
  </si>
  <si>
    <t>25SU30144</t>
  </si>
  <si>
    <t xml:space="preserve">B-CHICK </t>
  </si>
  <si>
    <t>2017-82241</t>
  </si>
  <si>
    <t>3CA</t>
  </si>
  <si>
    <t>25SU20061</t>
  </si>
  <si>
    <t>25SU00023</t>
  </si>
  <si>
    <t>25SU30135</t>
  </si>
  <si>
    <t>C-CHICK, LATE T1, ALSO ORAL VIAL 25SU00025</t>
  </si>
  <si>
    <t>2017-82242</t>
  </si>
  <si>
    <t>4CA</t>
  </si>
  <si>
    <t>25SU20063</t>
  </si>
  <si>
    <t>25SU00028</t>
  </si>
  <si>
    <t>20;19</t>
  </si>
  <si>
    <t>?L1</t>
  </si>
  <si>
    <t>2017-82243</t>
  </si>
  <si>
    <t>y</t>
  </si>
  <si>
    <t>?L2</t>
  </si>
  <si>
    <t>2017-82244</t>
  </si>
  <si>
    <t>5CA</t>
  </si>
  <si>
    <t>6CA</t>
  </si>
  <si>
    <t>25SU20062</t>
  </si>
  <si>
    <t>25SU20064</t>
  </si>
  <si>
    <t>25SU00026</t>
  </si>
  <si>
    <t>25SU00027</t>
  </si>
  <si>
    <t>?L3</t>
  </si>
  <si>
    <t>25G49</t>
  </si>
  <si>
    <t>2017-82245</t>
  </si>
  <si>
    <t>7CA</t>
  </si>
  <si>
    <t>25SU20065</t>
  </si>
  <si>
    <t>25SU00030</t>
  </si>
  <si>
    <t>25SU30126</t>
  </si>
  <si>
    <t>2017-82246</t>
  </si>
  <si>
    <t>8CA</t>
  </si>
  <si>
    <t>25SU20066</t>
  </si>
  <si>
    <t>25SU00031</t>
  </si>
  <si>
    <t>2017-82247</t>
  </si>
  <si>
    <t>9CA</t>
  </si>
  <si>
    <t>25SU20067</t>
  </si>
  <si>
    <t>25SU00029</t>
  </si>
  <si>
    <t xml:space="preserve">C-CHICK </t>
  </si>
  <si>
    <t>25G57</t>
  </si>
  <si>
    <t>2017-82248</t>
  </si>
  <si>
    <t>0CA</t>
  </si>
  <si>
    <t>25SU20069</t>
  </si>
  <si>
    <t>25SU00033</t>
  </si>
  <si>
    <t>2017-82249</t>
  </si>
  <si>
    <t>1CC</t>
  </si>
  <si>
    <t>25SU20077</t>
  </si>
  <si>
    <t>25SU00034</t>
  </si>
  <si>
    <t>2017-82250</t>
  </si>
  <si>
    <t>2CC</t>
  </si>
  <si>
    <t>25SU20068</t>
  </si>
  <si>
    <t>25SU00032</t>
  </si>
  <si>
    <t>25G40</t>
  </si>
  <si>
    <t>2017-82252</t>
  </si>
  <si>
    <t>4CC</t>
  </si>
  <si>
    <t>25SU20070</t>
  </si>
  <si>
    <t>25SU00035</t>
  </si>
  <si>
    <t>25SU30117</t>
  </si>
  <si>
    <t>2017-82251</t>
  </si>
  <si>
    <t>3CC</t>
  </si>
  <si>
    <t>25SU20071</t>
  </si>
  <si>
    <t>25SU00036</t>
  </si>
  <si>
    <t>25SU30108</t>
  </si>
  <si>
    <t>25G38</t>
  </si>
  <si>
    <t>2017-82253</t>
  </si>
  <si>
    <t>5CC</t>
  </si>
  <si>
    <t>25SU20072</t>
  </si>
  <si>
    <t>25SU00039</t>
  </si>
  <si>
    <t>2017-82254</t>
  </si>
  <si>
    <t>6CC</t>
  </si>
  <si>
    <t>25SU20073</t>
  </si>
  <si>
    <t>25SU00038</t>
  </si>
  <si>
    <t>?</t>
  </si>
  <si>
    <t>2017-82255</t>
  </si>
  <si>
    <t>7CC</t>
  </si>
  <si>
    <t>25SU20074</t>
  </si>
  <si>
    <t>25SU00037</t>
  </si>
  <si>
    <t>25G41</t>
  </si>
  <si>
    <t>2017-82256</t>
  </si>
  <si>
    <t>8CC</t>
  </si>
  <si>
    <t>25SU20075</t>
  </si>
  <si>
    <t>25SU00041</t>
  </si>
  <si>
    <t>2017-82257</t>
  </si>
  <si>
    <t>9CC</t>
  </si>
  <si>
    <t>25SU20076</t>
  </si>
  <si>
    <t>25SU00042</t>
  </si>
  <si>
    <t>25SU30023</t>
  </si>
  <si>
    <t>2017-82258</t>
  </si>
  <si>
    <t>0CC</t>
  </si>
  <si>
    <t>25SU20078</t>
  </si>
  <si>
    <t>25SU00040</t>
  </si>
  <si>
    <t>25G62</t>
  </si>
  <si>
    <t>2017-82259</t>
  </si>
  <si>
    <t>1CE</t>
  </si>
  <si>
    <t>25SU20079</t>
  </si>
  <si>
    <t>25SU00044</t>
  </si>
  <si>
    <t>25SU30025</t>
  </si>
  <si>
    <t>2017-82260</t>
  </si>
  <si>
    <t>2CE</t>
  </si>
  <si>
    <t>25SU20080</t>
  </si>
  <si>
    <t>25SU00043</t>
  </si>
  <si>
    <t>25SU30026</t>
  </si>
  <si>
    <t>25G43</t>
  </si>
  <si>
    <t>2017-82262</t>
  </si>
  <si>
    <t>4CE</t>
  </si>
  <si>
    <t>25SU00047</t>
  </si>
  <si>
    <t>A-CHICK?</t>
  </si>
  <si>
    <t>2017-82263</t>
  </si>
  <si>
    <t>5CE</t>
  </si>
  <si>
    <t>25SU20082</t>
  </si>
  <si>
    <t>25SU00045</t>
  </si>
  <si>
    <t>25SU30027</t>
  </si>
  <si>
    <t>B-CHICK, ADDITIONAL FECAL 25SU30028</t>
  </si>
  <si>
    <t>25G42</t>
  </si>
  <si>
    <t>2017-82261</t>
  </si>
  <si>
    <t>3CE</t>
  </si>
  <si>
    <t>25SU20083</t>
  </si>
  <si>
    <t>25SU00046</t>
  </si>
  <si>
    <t>25G46</t>
  </si>
  <si>
    <t>2017-82264</t>
  </si>
  <si>
    <t>6CE</t>
  </si>
  <si>
    <t>25SU20084</t>
  </si>
  <si>
    <t>25SU00049</t>
  </si>
  <si>
    <t>25SU30099</t>
  </si>
  <si>
    <t>25G25</t>
  </si>
  <si>
    <t>2017-82265</t>
  </si>
  <si>
    <t>7CE</t>
  </si>
  <si>
    <t>25SU20085</t>
  </si>
  <si>
    <t>25SU00048</t>
  </si>
  <si>
    <t>25SU30029</t>
  </si>
  <si>
    <t>25G24</t>
  </si>
  <si>
    <t>2017-82266</t>
  </si>
  <si>
    <t>8CE</t>
  </si>
  <si>
    <t>25SU20086</t>
  </si>
  <si>
    <t>25SU00050</t>
  </si>
  <si>
    <t>25SU30030</t>
  </si>
  <si>
    <t>2017-82267</t>
  </si>
  <si>
    <t>9CE</t>
  </si>
  <si>
    <t>25SU20087</t>
  </si>
  <si>
    <t>25SU00051</t>
  </si>
  <si>
    <t>25SU30031</t>
  </si>
  <si>
    <t>25G10</t>
  </si>
  <si>
    <t>2017-82268</t>
  </si>
  <si>
    <t>0CE</t>
  </si>
  <si>
    <t>25SU20088</t>
  </si>
  <si>
    <t>25SU00052</t>
  </si>
  <si>
    <t>25SU30032</t>
  </si>
  <si>
    <t>2017-82269</t>
  </si>
  <si>
    <t>1CF</t>
  </si>
  <si>
    <t>25SU20089</t>
  </si>
  <si>
    <t>25SU00055</t>
  </si>
  <si>
    <t>25SU30034</t>
  </si>
  <si>
    <t>2017-82270</t>
  </si>
  <si>
    <t>2CF</t>
  </si>
  <si>
    <t>25SU20090</t>
  </si>
  <si>
    <t>25SU00053</t>
  </si>
  <si>
    <t>2017-82271</t>
  </si>
  <si>
    <t>3CF</t>
  </si>
  <si>
    <t>25SU20091</t>
  </si>
  <si>
    <t>25SU00054</t>
  </si>
  <si>
    <t>25G01</t>
  </si>
  <si>
    <t>2017-82272</t>
  </si>
  <si>
    <t>4CF</t>
  </si>
  <si>
    <t>25SU20092</t>
  </si>
  <si>
    <t>25SU00057</t>
  </si>
  <si>
    <t>2017-82273</t>
  </si>
  <si>
    <t>5CF</t>
  </si>
  <si>
    <t>25SU20093</t>
  </si>
  <si>
    <t>25SU00056</t>
  </si>
  <si>
    <t>25SU30036</t>
  </si>
  <si>
    <t>25G5</t>
  </si>
  <si>
    <t>2017-82274</t>
  </si>
  <si>
    <t>6CF</t>
  </si>
  <si>
    <t>25SU20094</t>
  </si>
  <si>
    <t>25SU00058</t>
  </si>
  <si>
    <t>25SU30045</t>
  </si>
  <si>
    <t>2017-82275</t>
  </si>
  <si>
    <t>7CF</t>
  </si>
  <si>
    <t>25SU20095</t>
  </si>
  <si>
    <t>25SU00060</t>
  </si>
  <si>
    <t>25SU30043</t>
  </si>
  <si>
    <t>2017-82276</t>
  </si>
  <si>
    <t>8CF</t>
  </si>
  <si>
    <t>25SU20096</t>
  </si>
  <si>
    <t>25SU00059</t>
  </si>
  <si>
    <t>25SU30044</t>
  </si>
  <si>
    <t>2017-82277</t>
  </si>
  <si>
    <t>9CF</t>
  </si>
  <si>
    <t>25SU20097</t>
  </si>
  <si>
    <t>25SU00062</t>
  </si>
  <si>
    <t>25SU30042</t>
  </si>
  <si>
    <t>2017-82278</t>
  </si>
  <si>
    <t>0CF</t>
  </si>
  <si>
    <t>25SU20098</t>
  </si>
  <si>
    <t>25SU00061</t>
  </si>
  <si>
    <t>6N2</t>
  </si>
  <si>
    <t>2017-82279</t>
  </si>
  <si>
    <t>1CH</t>
  </si>
  <si>
    <t>25SU20099</t>
  </si>
  <si>
    <t>25SU00064</t>
  </si>
  <si>
    <t>25SU30040</t>
  </si>
  <si>
    <t>2017-82280</t>
  </si>
  <si>
    <t>2CH</t>
  </si>
  <si>
    <t>25SU20100</t>
  </si>
  <si>
    <t>25SU00063</t>
  </si>
  <si>
    <t>25SU30041</t>
  </si>
  <si>
    <t>2KZ</t>
  </si>
  <si>
    <t>2017-82281</t>
  </si>
  <si>
    <t>3CH</t>
  </si>
  <si>
    <t>25SU20103</t>
  </si>
  <si>
    <t>25SU00069</t>
  </si>
  <si>
    <t>1KH</t>
  </si>
  <si>
    <t>2017-82282</t>
  </si>
  <si>
    <t>4CH</t>
  </si>
  <si>
    <t>25SU20108</t>
  </si>
  <si>
    <t>25SU20107</t>
  </si>
  <si>
    <t>25SU00076</t>
  </si>
  <si>
    <t>25SU30037</t>
  </si>
  <si>
    <t>ON7</t>
  </si>
  <si>
    <t>2017-82283</t>
  </si>
  <si>
    <t>5CH</t>
  </si>
  <si>
    <t>25SU00077</t>
  </si>
  <si>
    <t>25SU30047</t>
  </si>
  <si>
    <t>2017-82284</t>
  </si>
  <si>
    <t>6CH</t>
  </si>
  <si>
    <t>25SU20109</t>
  </si>
  <si>
    <t>25SU00078</t>
  </si>
  <si>
    <t>25SU30046</t>
  </si>
  <si>
    <t>Cloacal_(HILL)</t>
  </si>
  <si>
    <t>L52</t>
  </si>
  <si>
    <t>1987-28846</t>
  </si>
  <si>
    <t>36K</t>
  </si>
  <si>
    <t>25SU20101</t>
  </si>
  <si>
    <t>25SU00068</t>
  </si>
  <si>
    <t>25SU00067</t>
  </si>
  <si>
    <t>25SU30039</t>
  </si>
  <si>
    <t>1987-28847</t>
  </si>
  <si>
    <t>37K</t>
  </si>
  <si>
    <t>25SU20102</t>
  </si>
  <si>
    <t>25SU00066</t>
  </si>
  <si>
    <t>25SU00065</t>
  </si>
  <si>
    <t>25SU30038</t>
  </si>
  <si>
    <t>44H</t>
  </si>
  <si>
    <t>1987-28858</t>
  </si>
  <si>
    <t>38K</t>
  </si>
  <si>
    <t>25SU20104</t>
  </si>
  <si>
    <t>25SU00073</t>
  </si>
  <si>
    <t>25SU00072</t>
  </si>
  <si>
    <t>1987-28859</t>
  </si>
  <si>
    <t>39K</t>
  </si>
  <si>
    <t>25SU20105</t>
  </si>
  <si>
    <t>25SU00071</t>
  </si>
  <si>
    <t>25SU00070</t>
  </si>
  <si>
    <t>1987-28860</t>
  </si>
  <si>
    <t>40K</t>
  </si>
  <si>
    <t>25SU20106</t>
  </si>
  <si>
    <t>25SU00075</t>
  </si>
  <si>
    <t>25SU00074</t>
  </si>
  <si>
    <t>Row_Number</t>
  </si>
  <si>
    <t>2017-82285</t>
  </si>
  <si>
    <t>2017-82286</t>
  </si>
  <si>
    <t>2017-92287</t>
  </si>
  <si>
    <t>2017-82288</t>
  </si>
  <si>
    <t>2017-82289</t>
  </si>
  <si>
    <t>2017-82290</t>
  </si>
  <si>
    <t>2017-82291</t>
  </si>
  <si>
    <t>2017-82292</t>
  </si>
  <si>
    <t>2017-82293</t>
  </si>
  <si>
    <t>2017-82294</t>
  </si>
  <si>
    <t>2017-82295</t>
  </si>
  <si>
    <t>2017-82296</t>
  </si>
  <si>
    <t>2017-82297</t>
  </si>
  <si>
    <t>2017-82298</t>
  </si>
  <si>
    <t>2017-82299</t>
  </si>
  <si>
    <t>2017-82300</t>
  </si>
  <si>
    <t>2017-38101</t>
  </si>
  <si>
    <t>2017-38102</t>
  </si>
  <si>
    <t>7CH</t>
  </si>
  <si>
    <t>8CH</t>
  </si>
  <si>
    <t>9CH</t>
  </si>
  <si>
    <t>0CH</t>
  </si>
  <si>
    <t>1CJ</t>
  </si>
  <si>
    <t>2CJ</t>
  </si>
  <si>
    <t>3CJ</t>
  </si>
  <si>
    <t>4CJ</t>
  </si>
  <si>
    <t>5CJ</t>
  </si>
  <si>
    <t>6CJ</t>
  </si>
  <si>
    <t>7CJ</t>
  </si>
  <si>
    <t>8CJ</t>
  </si>
  <si>
    <t>9CJ</t>
  </si>
  <si>
    <t>0CJ</t>
  </si>
  <si>
    <t>1CK</t>
  </si>
  <si>
    <t>2CK</t>
  </si>
  <si>
    <t>3CK</t>
  </si>
  <si>
    <t>4CK</t>
  </si>
  <si>
    <t>25SU20111</t>
  </si>
  <si>
    <t>25SU20110</t>
  </si>
  <si>
    <t>25SU20113</t>
  </si>
  <si>
    <t>25SU20112</t>
  </si>
  <si>
    <t>25SU20114</t>
  </si>
  <si>
    <t>25SU20115</t>
  </si>
  <si>
    <t>25SU20116</t>
  </si>
  <si>
    <t>25SU20117</t>
  </si>
  <si>
    <t>25SU20118</t>
  </si>
  <si>
    <t>25SU20119</t>
  </si>
  <si>
    <t>25SU00092</t>
  </si>
  <si>
    <t>25SU20120</t>
  </si>
  <si>
    <t>25SU20121</t>
  </si>
  <si>
    <t>25SU20122</t>
  </si>
  <si>
    <t>25SU20123</t>
  </si>
  <si>
    <t>25SU20125</t>
  </si>
  <si>
    <t>25SU20124</t>
  </si>
  <si>
    <t>25SU20126</t>
  </si>
  <si>
    <t>25SU00083</t>
  </si>
  <si>
    <t>25SU00082</t>
  </si>
  <si>
    <t>25SU00085</t>
  </si>
  <si>
    <t>25SU00094</t>
  </si>
  <si>
    <t>25SU00086</t>
  </si>
  <si>
    <t>25SU00087</t>
  </si>
  <si>
    <t>25SU00090</t>
  </si>
  <si>
    <t>25SU00088</t>
  </si>
  <si>
    <t>25SU00089</t>
  </si>
  <si>
    <t>25SU00091</t>
  </si>
  <si>
    <t>25SU00093</t>
  </si>
  <si>
    <t>25SU00095</t>
  </si>
  <si>
    <t>25SU00096</t>
  </si>
  <si>
    <t>25SU00097</t>
  </si>
  <si>
    <t>25SU00099</t>
  </si>
  <si>
    <t>25SU00098</t>
  </si>
  <si>
    <t>25SU00100</t>
  </si>
  <si>
    <t>25SU30049</t>
  </si>
  <si>
    <t>25SU30048</t>
  </si>
  <si>
    <t>25SU30050</t>
  </si>
  <si>
    <t>25G47</t>
  </si>
  <si>
    <t>25G56</t>
  </si>
  <si>
    <t>25G72</t>
  </si>
  <si>
    <t>25G48</t>
  </si>
  <si>
    <t>25G55</t>
  </si>
  <si>
    <t>25G06</t>
  </si>
  <si>
    <t>25G16</t>
  </si>
  <si>
    <t>25G31</t>
  </si>
  <si>
    <t>25G65</t>
  </si>
  <si>
    <t>25G28</t>
  </si>
  <si>
    <t>25G67</t>
  </si>
  <si>
    <t>25G33</t>
  </si>
  <si>
    <t>25G78</t>
  </si>
  <si>
    <t>25G29</t>
  </si>
  <si>
    <t>25G32</t>
  </si>
  <si>
    <t>25G44</t>
  </si>
  <si>
    <t>25G53</t>
  </si>
  <si>
    <t>25G05</t>
  </si>
  <si>
    <t>25G07</t>
  </si>
  <si>
    <t>25G13</t>
  </si>
  <si>
    <t>25G19</t>
  </si>
  <si>
    <t>25G23</t>
  </si>
  <si>
    <t>2017-38103</t>
  </si>
  <si>
    <t>2017-38104</t>
  </si>
  <si>
    <t>2017-38105</t>
  </si>
  <si>
    <t>2017-38106</t>
  </si>
  <si>
    <t>2017-38107</t>
  </si>
  <si>
    <t>2017-38108</t>
  </si>
  <si>
    <t>2017-38109</t>
  </si>
  <si>
    <t>2017-38110</t>
  </si>
  <si>
    <t>2017-38111</t>
  </si>
  <si>
    <t>2017-38112</t>
  </si>
  <si>
    <t>2017-38113</t>
  </si>
  <si>
    <t>2017-38114</t>
  </si>
  <si>
    <t>2017-38115</t>
  </si>
  <si>
    <t>2017-38116</t>
  </si>
  <si>
    <t>2017-38117</t>
  </si>
  <si>
    <t>2017-38118</t>
  </si>
  <si>
    <t>2017-38119</t>
  </si>
  <si>
    <t>5CK</t>
  </si>
  <si>
    <t>6CK</t>
  </si>
  <si>
    <t>7CK</t>
  </si>
  <si>
    <t>8CK</t>
  </si>
  <si>
    <t>9CK</t>
  </si>
  <si>
    <t>0CK</t>
  </si>
  <si>
    <t>1CL</t>
  </si>
  <si>
    <t>2CL</t>
  </si>
  <si>
    <t>3CL</t>
  </si>
  <si>
    <t>4CL</t>
  </si>
  <si>
    <t>5CL</t>
  </si>
  <si>
    <t>6CL</t>
  </si>
  <si>
    <t>7CL</t>
  </si>
  <si>
    <t>8CL</t>
  </si>
  <si>
    <t>9CL</t>
  </si>
  <si>
    <t>0CL</t>
  </si>
  <si>
    <t>1CM</t>
  </si>
  <si>
    <t>25SU20127</t>
  </si>
  <si>
    <t>25SU20128</t>
  </si>
  <si>
    <t>25SU20131</t>
  </si>
  <si>
    <t>25SU20130</t>
  </si>
  <si>
    <t>25SU20132</t>
  </si>
  <si>
    <t>25SU20129</t>
  </si>
  <si>
    <t>25SU20133</t>
  </si>
  <si>
    <t>25SU20134</t>
  </si>
  <si>
    <t>25SU20135</t>
  </si>
  <si>
    <t>25SU20136</t>
  </si>
  <si>
    <t>25SU20137</t>
  </si>
  <si>
    <t>25SU20138</t>
  </si>
  <si>
    <t>25SU20139</t>
  </si>
  <si>
    <t>25SU20140</t>
  </si>
  <si>
    <t>25SU20141</t>
  </si>
  <si>
    <t>25SU20142</t>
  </si>
  <si>
    <t>25SU20144</t>
  </si>
  <si>
    <t>25SU00101</t>
  </si>
  <si>
    <t>25SU00102</t>
  </si>
  <si>
    <t>25SU00103</t>
  </si>
  <si>
    <t>25SU00104</t>
  </si>
  <si>
    <t>25SU00105</t>
  </si>
  <si>
    <t>25SU00107</t>
  </si>
  <si>
    <t>25SU00106</t>
  </si>
  <si>
    <t>25SU00108</t>
  </si>
  <si>
    <t>25SU00112</t>
  </si>
  <si>
    <t>25SU00113</t>
  </si>
  <si>
    <t>25SU00115</t>
  </si>
  <si>
    <t>25SU00114</t>
  </si>
  <si>
    <t>25SU00116</t>
  </si>
  <si>
    <t>25SU00119</t>
  </si>
  <si>
    <t>25SU00118</t>
  </si>
  <si>
    <t>25SU00120</t>
  </si>
  <si>
    <t>25SU00121</t>
  </si>
  <si>
    <t>25SU30051</t>
  </si>
  <si>
    <t>25SU30053</t>
  </si>
  <si>
    <t>25SU30052</t>
  </si>
  <si>
    <t>25SU30054</t>
  </si>
  <si>
    <t>25SU30055</t>
  </si>
  <si>
    <t>CHICK 1</t>
  </si>
  <si>
    <t>CHICK 2</t>
  </si>
  <si>
    <t>SIRENS BIRD 1</t>
  </si>
  <si>
    <t>SIRENS BIRD2</t>
  </si>
  <si>
    <t>CHICK 1?</t>
  </si>
  <si>
    <t>BIRD 1, HTP, 42.98853,-70.61568</t>
  </si>
  <si>
    <t>BIRD 2, HTP, 42.98853,-70.61568</t>
  </si>
  <si>
    <t>CHICK A, GARDEN BIRD</t>
  </si>
  <si>
    <t>TRAIL TO SMITHS</t>
  </si>
  <si>
    <t>25G61</t>
  </si>
  <si>
    <t>25G20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</si>
</sst>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0" fontId="1" fillId="0" borderId="1" xfId="1" applyBorder="1"/>
    <xf numFmtId="0" fontId="2" fillId="0" borderId="1" xfId="0" applyFont="1" applyBorder="1"/>
    <xf numFmtId="0" fontId="0" fillId="2" borderId="1" xfId="0" applyFill="1" applyBorder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20" fontId="0" fillId="0" borderId="0" xfId="0" applyNumberFormat="1"/>
    <xf numFmtId="0" fontId="0" fillId="0" borderId="6" xfId="0" applyFill="1" applyBorder="1"/>
    <xf numFmtId="0" fontId="0" fillId="2" borderId="6" xfId="0" applyFill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?L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5CE03-CF64-484C-93FB-1050FCC8CF75}">
  <dimension ref="A1:X102"/>
  <sheetViews>
    <sheetView tabSelected="1" zoomScale="140" zoomScaleNormal="140" workbookViewId="0">
      <pane ySplit="1" topLeftCell="A2" activePane="bottomLeft" state="frozen"/>
      <selection pane="bottomLeft" activeCell="F85" sqref="F85"/>
    </sheetView>
  </sheetViews>
  <sheetFormatPr baseColWidth="10" defaultRowHeight="16" x14ac:dyDescent="0.2"/>
  <cols>
    <col min="7" max="7" width="12.6640625" customWidth="1"/>
    <col min="23" max="23" width="15.1640625" customWidth="1"/>
  </cols>
  <sheetData>
    <row r="1" spans="1:24" x14ac:dyDescent="0.2">
      <c r="A1" s="1" t="s">
        <v>301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1</v>
      </c>
      <c r="B2" s="2">
        <v>45837</v>
      </c>
      <c r="C2" s="1" t="s">
        <v>23</v>
      </c>
      <c r="D2" s="1" t="s">
        <v>24</v>
      </c>
      <c r="E2" s="3">
        <v>0.78055555555555556</v>
      </c>
      <c r="F2" s="1">
        <v>36.799999999999997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27</v>
      </c>
      <c r="L2" s="1">
        <v>83.8</v>
      </c>
      <c r="M2" s="1" t="s">
        <v>27</v>
      </c>
      <c r="N2" s="1" t="s">
        <v>27</v>
      </c>
      <c r="O2" s="1">
        <v>1760</v>
      </c>
      <c r="P2" s="1">
        <v>60</v>
      </c>
      <c r="Q2" s="1"/>
      <c r="R2" s="1" t="s">
        <v>29</v>
      </c>
      <c r="S2" s="1">
        <v>136.4</v>
      </c>
      <c r="T2" s="1">
        <v>54</v>
      </c>
      <c r="U2" s="1">
        <v>39.200000000000003</v>
      </c>
      <c r="V2" s="1">
        <v>19.149999999999999</v>
      </c>
      <c r="W2" s="1" t="s">
        <v>30</v>
      </c>
      <c r="X2" s="1" t="s">
        <v>31</v>
      </c>
    </row>
    <row r="3" spans="1:24" x14ac:dyDescent="0.2">
      <c r="A3" s="1">
        <v>2</v>
      </c>
      <c r="B3" s="2">
        <v>45837</v>
      </c>
      <c r="C3" s="1" t="s">
        <v>23</v>
      </c>
      <c r="D3" s="1" t="s">
        <v>24</v>
      </c>
      <c r="E3" s="3">
        <v>0.78055555555555556</v>
      </c>
      <c r="F3" s="1">
        <v>37.9</v>
      </c>
      <c r="G3" s="1" t="s">
        <v>34</v>
      </c>
      <c r="H3" s="1" t="s">
        <v>35</v>
      </c>
      <c r="I3" s="1" t="s">
        <v>27</v>
      </c>
      <c r="J3" s="1" t="s">
        <v>36</v>
      </c>
      <c r="K3" s="1" t="s">
        <v>27</v>
      </c>
      <c r="L3" s="1">
        <v>85.5</v>
      </c>
      <c r="M3" s="1" t="s">
        <v>27</v>
      </c>
      <c r="N3" s="1" t="s">
        <v>27</v>
      </c>
      <c r="O3" s="1">
        <v>1830</v>
      </c>
      <c r="P3" s="1">
        <v>60</v>
      </c>
      <c r="Q3" s="1"/>
      <c r="R3" s="1" t="s">
        <v>37</v>
      </c>
      <c r="S3" s="1">
        <v>133.4</v>
      </c>
      <c r="T3" s="1">
        <v>55.7</v>
      </c>
      <c r="U3" s="1">
        <v>42.6</v>
      </c>
      <c r="V3" s="3">
        <v>0.8</v>
      </c>
      <c r="W3" s="1" t="s">
        <v>30</v>
      </c>
      <c r="X3" s="1" t="s">
        <v>38</v>
      </c>
    </row>
    <row r="4" spans="1:24" x14ac:dyDescent="0.2">
      <c r="A4" s="1">
        <v>3</v>
      </c>
      <c r="B4" s="2">
        <v>45837</v>
      </c>
      <c r="C4" s="1" t="s">
        <v>32</v>
      </c>
      <c r="D4" s="1" t="s">
        <v>24</v>
      </c>
      <c r="E4" s="1" t="s">
        <v>30</v>
      </c>
      <c r="F4" s="1" t="s">
        <v>30</v>
      </c>
      <c r="G4" s="1" t="s">
        <v>33</v>
      </c>
      <c r="H4" s="1" t="s">
        <v>39</v>
      </c>
      <c r="I4" s="1" t="s">
        <v>27</v>
      </c>
      <c r="J4" s="1" t="s">
        <v>40</v>
      </c>
      <c r="K4" s="1" t="s">
        <v>27</v>
      </c>
      <c r="L4" s="1">
        <v>77.7</v>
      </c>
      <c r="M4" s="1" t="s">
        <v>27</v>
      </c>
      <c r="N4" s="1" t="s">
        <v>27</v>
      </c>
      <c r="O4" s="1">
        <v>1420</v>
      </c>
      <c r="P4" s="1">
        <v>60</v>
      </c>
      <c r="Q4" s="1"/>
      <c r="R4" s="1" t="s">
        <v>41</v>
      </c>
      <c r="S4" s="1">
        <v>119.4</v>
      </c>
      <c r="T4" s="1">
        <v>46.9</v>
      </c>
      <c r="U4" s="1">
        <v>40</v>
      </c>
      <c r="V4" s="1" t="s">
        <v>30</v>
      </c>
      <c r="W4" s="1" t="s">
        <v>42</v>
      </c>
      <c r="X4" s="1" t="s">
        <v>43</v>
      </c>
    </row>
    <row r="5" spans="1:24" x14ac:dyDescent="0.2">
      <c r="A5" s="1">
        <v>4</v>
      </c>
      <c r="B5" s="2">
        <v>45837</v>
      </c>
      <c r="C5" s="1" t="s">
        <v>32</v>
      </c>
      <c r="D5" s="1" t="s">
        <v>24</v>
      </c>
      <c r="E5" s="1" t="s">
        <v>30</v>
      </c>
      <c r="F5" s="1">
        <v>37.6</v>
      </c>
      <c r="G5" s="1" t="s">
        <v>44</v>
      </c>
      <c r="H5" s="1" t="s">
        <v>45</v>
      </c>
      <c r="I5" s="1" t="s">
        <v>27</v>
      </c>
      <c r="J5" s="1" t="s">
        <v>46</v>
      </c>
      <c r="K5" s="1" t="s">
        <v>27</v>
      </c>
      <c r="L5" s="1">
        <v>78</v>
      </c>
      <c r="M5" s="1" t="s">
        <v>27</v>
      </c>
      <c r="N5" s="1" t="s">
        <v>27</v>
      </c>
      <c r="O5" s="1">
        <v>1570</v>
      </c>
      <c r="P5" s="1">
        <v>60</v>
      </c>
      <c r="Q5" s="1"/>
      <c r="R5" s="1" t="s">
        <v>47</v>
      </c>
      <c r="S5" s="1">
        <v>129.80000000000001</v>
      </c>
      <c r="T5" s="1">
        <v>52.8</v>
      </c>
      <c r="U5" s="1">
        <v>40.5</v>
      </c>
      <c r="V5" s="1" t="s">
        <v>30</v>
      </c>
      <c r="W5" s="1" t="s">
        <v>48</v>
      </c>
      <c r="X5" s="1" t="s">
        <v>49</v>
      </c>
    </row>
    <row r="6" spans="1:24" x14ac:dyDescent="0.2">
      <c r="A6" s="1">
        <v>5</v>
      </c>
      <c r="B6" s="2">
        <v>45837</v>
      </c>
      <c r="C6" s="1" t="s">
        <v>388</v>
      </c>
      <c r="D6" s="1" t="s">
        <v>24</v>
      </c>
      <c r="E6" s="3">
        <v>0.83333333333333337</v>
      </c>
      <c r="F6" s="1">
        <v>27.7</v>
      </c>
      <c r="G6" s="1" t="s">
        <v>50</v>
      </c>
      <c r="H6" s="1" t="s">
        <v>51</v>
      </c>
      <c r="I6" s="1" t="s">
        <v>27</v>
      </c>
      <c r="J6" s="1" t="s">
        <v>52</v>
      </c>
      <c r="K6" s="1" t="s">
        <v>27</v>
      </c>
      <c r="L6" s="1">
        <v>80.8</v>
      </c>
      <c r="M6" s="1" t="s">
        <v>30</v>
      </c>
      <c r="N6" s="1" t="s">
        <v>30</v>
      </c>
      <c r="O6" s="1">
        <v>1380</v>
      </c>
      <c r="P6" s="1">
        <v>70</v>
      </c>
      <c r="Q6" s="1"/>
      <c r="R6" s="1" t="s">
        <v>53</v>
      </c>
      <c r="S6" s="1">
        <v>120.9</v>
      </c>
      <c r="T6" s="1">
        <v>46</v>
      </c>
      <c r="U6" s="1">
        <v>41.2</v>
      </c>
      <c r="V6" s="1" t="s">
        <v>54</v>
      </c>
      <c r="W6" s="1" t="s">
        <v>30</v>
      </c>
      <c r="X6" s="1" t="s">
        <v>55</v>
      </c>
    </row>
    <row r="7" spans="1:24" x14ac:dyDescent="0.2">
      <c r="A7" s="1">
        <v>6</v>
      </c>
      <c r="B7" s="2">
        <v>45837</v>
      </c>
      <c r="C7" s="1" t="s">
        <v>388</v>
      </c>
      <c r="D7" s="1" t="s">
        <v>24</v>
      </c>
      <c r="E7" s="3">
        <v>0.83333333333333337</v>
      </c>
      <c r="F7" s="1">
        <v>24</v>
      </c>
      <c r="G7" s="1" t="s">
        <v>56</v>
      </c>
      <c r="H7" s="1" t="s">
        <v>60</v>
      </c>
      <c r="I7" s="1" t="s">
        <v>57</v>
      </c>
      <c r="J7" s="1" t="s">
        <v>62</v>
      </c>
      <c r="K7" s="1" t="s">
        <v>27</v>
      </c>
      <c r="L7" s="1">
        <v>77.7</v>
      </c>
      <c r="M7" s="1" t="s">
        <v>30</v>
      </c>
      <c r="N7" s="1" t="s">
        <v>30</v>
      </c>
      <c r="O7" s="1">
        <v>1150</v>
      </c>
      <c r="P7" s="1">
        <v>65</v>
      </c>
      <c r="Q7" s="1"/>
      <c r="R7" s="1" t="s">
        <v>65</v>
      </c>
      <c r="S7" s="1">
        <v>116.4</v>
      </c>
      <c r="T7" s="1">
        <v>46.3</v>
      </c>
      <c r="U7" s="1">
        <v>34.5</v>
      </c>
      <c r="V7" s="3">
        <v>0.84930555555555554</v>
      </c>
      <c r="W7" s="1" t="s">
        <v>30</v>
      </c>
      <c r="X7" s="4" t="s">
        <v>58</v>
      </c>
    </row>
    <row r="8" spans="1:24" x14ac:dyDescent="0.2">
      <c r="A8" s="1">
        <v>7</v>
      </c>
      <c r="B8" s="2">
        <v>45837</v>
      </c>
      <c r="C8" s="1" t="s">
        <v>388</v>
      </c>
      <c r="D8" s="1" t="s">
        <v>24</v>
      </c>
      <c r="E8" s="3">
        <v>0.83333333333333337</v>
      </c>
      <c r="F8" s="1">
        <v>30.5</v>
      </c>
      <c r="G8" s="1" t="s">
        <v>59</v>
      </c>
      <c r="H8" s="1" t="s">
        <v>61</v>
      </c>
      <c r="I8" s="1" t="s">
        <v>27</v>
      </c>
      <c r="J8" s="1" t="s">
        <v>63</v>
      </c>
      <c r="K8" s="1" t="s">
        <v>27</v>
      </c>
      <c r="L8" s="1">
        <v>76.8</v>
      </c>
      <c r="M8" s="1" t="s">
        <v>30</v>
      </c>
      <c r="N8" s="1" t="s">
        <v>30</v>
      </c>
      <c r="O8" s="1">
        <v>1260</v>
      </c>
      <c r="P8" s="1">
        <v>20</v>
      </c>
      <c r="Q8" s="1"/>
      <c r="R8" s="1" t="s">
        <v>64</v>
      </c>
      <c r="S8" s="1">
        <v>120.2</v>
      </c>
      <c r="T8" s="1">
        <v>48.2</v>
      </c>
      <c r="U8" s="1">
        <v>41.2</v>
      </c>
      <c r="V8" s="3">
        <v>0.84930555555555554</v>
      </c>
      <c r="W8" s="1" t="s">
        <v>30</v>
      </c>
      <c r="X8" s="1" t="s">
        <v>66</v>
      </c>
    </row>
    <row r="9" spans="1:24" x14ac:dyDescent="0.2">
      <c r="A9" s="1">
        <v>8</v>
      </c>
      <c r="B9" s="2">
        <v>45837</v>
      </c>
      <c r="C9" s="1" t="s">
        <v>67</v>
      </c>
      <c r="D9" s="1" t="s">
        <v>24</v>
      </c>
      <c r="E9" s="3">
        <v>0.85624999999999996</v>
      </c>
      <c r="F9" s="1">
        <v>23.8</v>
      </c>
      <c r="G9" s="1" t="s">
        <v>68</v>
      </c>
      <c r="H9" s="1" t="s">
        <v>69</v>
      </c>
      <c r="I9" s="1" t="s">
        <v>27</v>
      </c>
      <c r="J9" s="1" t="s">
        <v>70</v>
      </c>
      <c r="K9" s="1" t="s">
        <v>27</v>
      </c>
      <c r="L9" s="1">
        <v>78</v>
      </c>
      <c r="M9" s="1" t="s">
        <v>30</v>
      </c>
      <c r="N9" s="1" t="s">
        <v>30</v>
      </c>
      <c r="O9" s="1">
        <v>1320</v>
      </c>
      <c r="P9" s="1">
        <v>70</v>
      </c>
      <c r="Q9" s="1"/>
      <c r="R9" s="1" t="s">
        <v>71</v>
      </c>
      <c r="S9" s="1">
        <v>117.1</v>
      </c>
      <c r="T9" s="1">
        <v>47.9</v>
      </c>
      <c r="U9" s="1">
        <v>40.9</v>
      </c>
      <c r="V9" s="3">
        <v>0.875</v>
      </c>
      <c r="W9" s="1" t="s">
        <v>72</v>
      </c>
      <c r="X9" s="1" t="s">
        <v>38</v>
      </c>
    </row>
    <row r="10" spans="1:24" x14ac:dyDescent="0.2">
      <c r="A10" s="1">
        <v>9</v>
      </c>
      <c r="B10" s="2">
        <v>45837</v>
      </c>
      <c r="C10" s="1" t="s">
        <v>67</v>
      </c>
      <c r="D10" s="1" t="s">
        <v>24</v>
      </c>
      <c r="E10" s="3">
        <v>0.85624999999999996</v>
      </c>
      <c r="F10" s="1">
        <v>32.1</v>
      </c>
      <c r="G10" s="1" t="s">
        <v>73</v>
      </c>
      <c r="H10" s="1" t="s">
        <v>74</v>
      </c>
      <c r="I10" s="1" t="s">
        <v>27</v>
      </c>
      <c r="J10" s="1" t="s">
        <v>75</v>
      </c>
      <c r="K10" s="1" t="s">
        <v>27</v>
      </c>
      <c r="L10" s="1">
        <v>78.599999999999994</v>
      </c>
      <c r="M10" s="1" t="s">
        <v>30</v>
      </c>
      <c r="N10" s="1" t="s">
        <v>30</v>
      </c>
      <c r="O10" s="1">
        <v>1485</v>
      </c>
      <c r="P10" s="1">
        <v>65</v>
      </c>
      <c r="Q10" s="1"/>
      <c r="R10" s="1" t="s">
        <v>76</v>
      </c>
      <c r="S10" s="1">
        <v>120.1</v>
      </c>
      <c r="T10" s="1">
        <v>47.4</v>
      </c>
      <c r="U10" s="1">
        <v>39.5</v>
      </c>
      <c r="V10" s="3">
        <v>0.87013888888888891</v>
      </c>
      <c r="W10" s="1" t="s">
        <v>30</v>
      </c>
      <c r="X10" s="1" t="s">
        <v>43</v>
      </c>
    </row>
    <row r="11" spans="1:24" x14ac:dyDescent="0.2">
      <c r="A11" s="1">
        <v>10</v>
      </c>
      <c r="B11" s="2">
        <v>45837</v>
      </c>
      <c r="C11" s="1" t="s">
        <v>67</v>
      </c>
      <c r="D11" s="1" t="s">
        <v>24</v>
      </c>
      <c r="E11" s="3">
        <v>0.85624999999999996</v>
      </c>
      <c r="F11" s="1">
        <v>24.6</v>
      </c>
      <c r="G11" s="1" t="s">
        <v>77</v>
      </c>
      <c r="H11" s="1" t="s">
        <v>78</v>
      </c>
      <c r="I11" s="1" t="s">
        <v>27</v>
      </c>
      <c r="J11" s="1" t="s">
        <v>79</v>
      </c>
      <c r="K11" s="1" t="s">
        <v>27</v>
      </c>
      <c r="L11" s="1">
        <v>83.8</v>
      </c>
      <c r="M11" s="1" t="s">
        <v>30</v>
      </c>
      <c r="N11" s="1" t="s">
        <v>30</v>
      </c>
      <c r="O11" s="1">
        <v>1540</v>
      </c>
      <c r="P11" s="1">
        <v>70</v>
      </c>
      <c r="Q11" s="1"/>
      <c r="R11" s="1" t="s">
        <v>80</v>
      </c>
      <c r="S11" s="1">
        <v>122.8</v>
      </c>
      <c r="T11" s="1">
        <v>46.7</v>
      </c>
      <c r="U11" s="1">
        <v>41.6</v>
      </c>
      <c r="V11" s="3">
        <v>0.875</v>
      </c>
      <c r="W11" s="1" t="s">
        <v>30</v>
      </c>
      <c r="X11" s="1" t="s">
        <v>81</v>
      </c>
    </row>
    <row r="12" spans="1:24" x14ac:dyDescent="0.2">
      <c r="A12" s="1">
        <v>11</v>
      </c>
      <c r="B12" s="2">
        <v>45838</v>
      </c>
      <c r="C12" s="1" t="s">
        <v>82</v>
      </c>
      <c r="D12" s="1" t="s">
        <v>24</v>
      </c>
      <c r="E12" s="3">
        <v>0.27500000000000002</v>
      </c>
      <c r="F12" s="1">
        <v>28.5</v>
      </c>
      <c r="G12" s="1" t="s">
        <v>83</v>
      </c>
      <c r="H12" s="1" t="s">
        <v>84</v>
      </c>
      <c r="I12" s="1" t="s">
        <v>27</v>
      </c>
      <c r="J12" s="1" t="s">
        <v>85</v>
      </c>
      <c r="K12" s="1" t="s">
        <v>27</v>
      </c>
      <c r="L12" s="1">
        <v>82.8</v>
      </c>
      <c r="M12" s="1" t="s">
        <v>27</v>
      </c>
      <c r="N12" s="1" t="s">
        <v>27</v>
      </c>
      <c r="O12" s="1">
        <v>1480</v>
      </c>
      <c r="P12" s="1">
        <v>60</v>
      </c>
      <c r="Q12" s="1"/>
      <c r="R12" s="1" t="s">
        <v>86</v>
      </c>
      <c r="S12" s="1">
        <v>130.6</v>
      </c>
      <c r="T12" s="1">
        <v>53.3</v>
      </c>
      <c r="U12" s="1">
        <v>41.1</v>
      </c>
      <c r="V12" s="3">
        <v>0.29652777777777778</v>
      </c>
      <c r="W12" s="1" t="s">
        <v>30</v>
      </c>
      <c r="X12" s="1" t="s">
        <v>38</v>
      </c>
    </row>
    <row r="13" spans="1:24" x14ac:dyDescent="0.2">
      <c r="A13" s="1">
        <v>12</v>
      </c>
      <c r="B13" s="2">
        <v>45838</v>
      </c>
      <c r="C13" s="1" t="s">
        <v>82</v>
      </c>
      <c r="D13" s="1" t="s">
        <v>24</v>
      </c>
      <c r="E13" s="3">
        <v>0.27500000000000002</v>
      </c>
      <c r="F13" s="1">
        <v>24</v>
      </c>
      <c r="G13" s="1" t="s">
        <v>87</v>
      </c>
      <c r="H13" s="1" t="s">
        <v>88</v>
      </c>
      <c r="I13" s="1" t="s">
        <v>27</v>
      </c>
      <c r="J13" s="1" t="s">
        <v>89</v>
      </c>
      <c r="K13" s="1" t="s">
        <v>27</v>
      </c>
      <c r="L13" s="1">
        <v>76.8</v>
      </c>
      <c r="M13" s="1" t="s">
        <v>27</v>
      </c>
      <c r="N13" s="1" t="s">
        <v>27</v>
      </c>
      <c r="O13" s="1">
        <v>1340</v>
      </c>
      <c r="P13" s="1">
        <v>60</v>
      </c>
      <c r="Q13" s="1"/>
      <c r="R13" s="1" t="s">
        <v>90</v>
      </c>
      <c r="S13" s="1">
        <v>125.4</v>
      </c>
      <c r="T13" s="1">
        <v>51.5</v>
      </c>
      <c r="U13" s="1">
        <v>37.6</v>
      </c>
      <c r="V13" s="3">
        <v>0.29375000000000001</v>
      </c>
      <c r="W13" s="1" t="s">
        <v>30</v>
      </c>
      <c r="X13" s="1" t="s">
        <v>43</v>
      </c>
    </row>
    <row r="14" spans="1:24" x14ac:dyDescent="0.2">
      <c r="A14" s="1">
        <v>13</v>
      </c>
      <c r="B14" s="2">
        <v>45838</v>
      </c>
      <c r="C14" s="1" t="s">
        <v>82</v>
      </c>
      <c r="D14" s="1" t="s">
        <v>24</v>
      </c>
      <c r="E14" s="3">
        <v>0.27500000000000002</v>
      </c>
      <c r="F14" s="1">
        <v>29.4</v>
      </c>
      <c r="G14" s="1" t="s">
        <v>91</v>
      </c>
      <c r="H14" s="1" t="s">
        <v>92</v>
      </c>
      <c r="I14" s="1" t="s">
        <v>27</v>
      </c>
      <c r="J14" s="1" t="s">
        <v>93</v>
      </c>
      <c r="K14" s="1" t="s">
        <v>27</v>
      </c>
      <c r="L14" s="1">
        <v>78.7</v>
      </c>
      <c r="M14" s="1" t="s">
        <v>27</v>
      </c>
      <c r="N14" s="1" t="s">
        <v>27</v>
      </c>
      <c r="O14" s="1">
        <v>1420</v>
      </c>
      <c r="P14" s="1">
        <v>60</v>
      </c>
      <c r="Q14" s="1"/>
      <c r="R14" s="1" t="s">
        <v>94</v>
      </c>
      <c r="S14" s="1">
        <v>122.3</v>
      </c>
      <c r="T14" s="1">
        <v>50.3</v>
      </c>
      <c r="U14" s="1">
        <v>39.1</v>
      </c>
      <c r="V14" s="3">
        <v>0.29583333333333334</v>
      </c>
      <c r="W14" s="1" t="s">
        <v>30</v>
      </c>
      <c r="X14" s="1" t="s">
        <v>81</v>
      </c>
    </row>
    <row r="15" spans="1:24" x14ac:dyDescent="0.2">
      <c r="A15" s="1">
        <v>14</v>
      </c>
      <c r="B15" s="2">
        <v>45838</v>
      </c>
      <c r="C15" s="1" t="s">
        <v>95</v>
      </c>
      <c r="D15" s="1" t="s">
        <v>24</v>
      </c>
      <c r="E15" s="3">
        <v>0.37708333333333333</v>
      </c>
      <c r="F15" s="1">
        <v>38.9</v>
      </c>
      <c r="G15" s="1" t="s">
        <v>96</v>
      </c>
      <c r="H15" s="1" t="s">
        <v>97</v>
      </c>
      <c r="I15" s="1" t="s">
        <v>27</v>
      </c>
      <c r="J15" s="1" t="s">
        <v>98</v>
      </c>
      <c r="K15" s="1" t="s">
        <v>27</v>
      </c>
      <c r="L15" s="1">
        <v>76.900000000000006</v>
      </c>
      <c r="M15" s="1" t="s">
        <v>27</v>
      </c>
      <c r="N15" s="1" t="s">
        <v>27</v>
      </c>
      <c r="O15" s="1">
        <v>1160</v>
      </c>
      <c r="P15" s="1">
        <v>70</v>
      </c>
      <c r="Q15" s="1"/>
      <c r="R15" s="1" t="s">
        <v>99</v>
      </c>
      <c r="S15" s="1">
        <v>114.6</v>
      </c>
      <c r="T15" s="1">
        <v>47</v>
      </c>
      <c r="U15" s="1">
        <v>41.6</v>
      </c>
      <c r="V15" s="3">
        <v>0.39305555555555555</v>
      </c>
      <c r="W15" s="1" t="s">
        <v>100</v>
      </c>
      <c r="X15" s="1" t="s">
        <v>38</v>
      </c>
    </row>
    <row r="16" spans="1:24" x14ac:dyDescent="0.2">
      <c r="A16" s="1">
        <v>15</v>
      </c>
      <c r="B16" s="2">
        <v>45838</v>
      </c>
      <c r="C16" s="1" t="s">
        <v>95</v>
      </c>
      <c r="D16" s="1" t="s">
        <v>24</v>
      </c>
      <c r="E16" s="3">
        <v>0.37708333333333333</v>
      </c>
      <c r="F16" s="1">
        <v>39.700000000000003</v>
      </c>
      <c r="G16" s="1" t="s">
        <v>101</v>
      </c>
      <c r="H16" s="1" t="s">
        <v>102</v>
      </c>
      <c r="I16" s="1" t="s">
        <v>27</v>
      </c>
      <c r="J16" s="1" t="s">
        <v>103</v>
      </c>
      <c r="K16" s="1" t="s">
        <v>27</v>
      </c>
      <c r="L16" s="1">
        <v>76.8</v>
      </c>
      <c r="M16" s="1" t="s">
        <v>30</v>
      </c>
      <c r="N16" s="1" t="s">
        <v>30</v>
      </c>
      <c r="O16" s="1">
        <v>1130</v>
      </c>
      <c r="P16" s="1">
        <v>70</v>
      </c>
      <c r="Q16" s="1"/>
      <c r="R16" s="1" t="s">
        <v>104</v>
      </c>
      <c r="S16" s="1">
        <v>116.6</v>
      </c>
      <c r="T16" s="1">
        <v>46.6</v>
      </c>
      <c r="U16" s="1">
        <v>41.9</v>
      </c>
      <c r="V16" s="3">
        <v>0.39305555555555555</v>
      </c>
      <c r="W16" s="1" t="s">
        <v>105</v>
      </c>
      <c r="X16" s="1" t="s">
        <v>43</v>
      </c>
    </row>
    <row r="17" spans="1:24" x14ac:dyDescent="0.2">
      <c r="A17" s="1">
        <v>16</v>
      </c>
      <c r="B17" s="2">
        <v>45838</v>
      </c>
      <c r="C17" s="1" t="s">
        <v>106</v>
      </c>
      <c r="D17" s="1" t="s">
        <v>24</v>
      </c>
      <c r="E17" s="3">
        <v>0.4</v>
      </c>
      <c r="F17" s="1">
        <v>34.5</v>
      </c>
      <c r="G17" s="1" t="s">
        <v>107</v>
      </c>
      <c r="H17" s="1" t="s">
        <v>108</v>
      </c>
      <c r="I17" s="1" t="s">
        <v>27</v>
      </c>
      <c r="J17" s="1" t="s">
        <v>109</v>
      </c>
      <c r="K17" s="1" t="s">
        <v>27</v>
      </c>
      <c r="L17" s="1">
        <v>76.3</v>
      </c>
      <c r="M17" s="1" t="s">
        <v>30</v>
      </c>
      <c r="N17" s="1" t="s">
        <v>30</v>
      </c>
      <c r="O17" s="1">
        <v>1460</v>
      </c>
      <c r="P17" s="1">
        <v>70</v>
      </c>
      <c r="Q17" s="1"/>
      <c r="R17" s="1" t="s">
        <v>110</v>
      </c>
      <c r="S17" s="1">
        <v>121.4</v>
      </c>
      <c r="T17" s="1">
        <v>48.7</v>
      </c>
      <c r="U17" s="1">
        <v>33.700000000000003</v>
      </c>
      <c r="V17" s="3">
        <v>0.40694444444444444</v>
      </c>
      <c r="W17" s="1" t="s">
        <v>30</v>
      </c>
      <c r="X17" s="1" t="s">
        <v>38</v>
      </c>
    </row>
    <row r="18" spans="1:24" x14ac:dyDescent="0.2">
      <c r="A18" s="1">
        <v>17</v>
      </c>
      <c r="B18" s="2">
        <v>45838</v>
      </c>
      <c r="C18" s="1" t="s">
        <v>106</v>
      </c>
      <c r="D18" s="1" t="s">
        <v>24</v>
      </c>
      <c r="E18" s="3">
        <v>0.4</v>
      </c>
      <c r="F18" s="1">
        <v>41.1</v>
      </c>
      <c r="G18" s="1" t="s">
        <v>111</v>
      </c>
      <c r="H18" s="1" t="s">
        <v>112</v>
      </c>
      <c r="I18" s="1" t="s">
        <v>27</v>
      </c>
      <c r="J18" s="1" t="s">
        <v>113</v>
      </c>
      <c r="K18" s="1" t="s">
        <v>27</v>
      </c>
      <c r="L18" s="1">
        <v>76</v>
      </c>
      <c r="M18" s="1" t="s">
        <v>30</v>
      </c>
      <c r="N18" s="1" t="s">
        <v>30</v>
      </c>
      <c r="O18" s="1">
        <v>1250</v>
      </c>
      <c r="P18" s="1">
        <v>60</v>
      </c>
      <c r="Q18" s="1"/>
      <c r="R18" s="1" t="s">
        <v>114</v>
      </c>
      <c r="S18" s="1">
        <v>115.9</v>
      </c>
      <c r="T18" s="1">
        <v>48.3</v>
      </c>
      <c r="U18" s="1">
        <v>36.1</v>
      </c>
      <c r="V18" s="3">
        <v>0.40763888888888888</v>
      </c>
      <c r="W18" s="1" t="s">
        <v>30</v>
      </c>
      <c r="X18" s="1" t="s">
        <v>43</v>
      </c>
    </row>
    <row r="19" spans="1:24" x14ac:dyDescent="0.2">
      <c r="A19" s="1">
        <v>18</v>
      </c>
      <c r="B19" s="2">
        <v>45838</v>
      </c>
      <c r="C19" s="1" t="s">
        <v>115</v>
      </c>
      <c r="D19" s="1" t="s">
        <v>24</v>
      </c>
      <c r="E19" s="3">
        <v>0.4</v>
      </c>
      <c r="F19" s="1">
        <v>34</v>
      </c>
      <c r="G19" s="1" t="s">
        <v>116</v>
      </c>
      <c r="H19" s="1" t="s">
        <v>117</v>
      </c>
      <c r="I19" s="1" t="s">
        <v>27</v>
      </c>
      <c r="J19" s="1" t="s">
        <v>118</v>
      </c>
      <c r="K19" s="1" t="s">
        <v>27</v>
      </c>
      <c r="L19" s="1">
        <v>71.099999999999994</v>
      </c>
      <c r="M19" s="1" t="s">
        <v>30</v>
      </c>
      <c r="N19" s="1" t="s">
        <v>30</v>
      </c>
      <c r="O19" s="1">
        <v>1120</v>
      </c>
      <c r="P19" s="1">
        <v>60</v>
      </c>
      <c r="Q19" s="1"/>
      <c r="R19" s="1" t="s">
        <v>119</v>
      </c>
      <c r="S19" s="1">
        <v>101.5</v>
      </c>
      <c r="T19" s="1">
        <v>41.7</v>
      </c>
      <c r="U19" s="1">
        <v>36</v>
      </c>
      <c r="V19" s="3">
        <v>0.40763888888888888</v>
      </c>
      <c r="W19" s="1" t="s">
        <v>30</v>
      </c>
      <c r="X19" s="1" t="s">
        <v>43</v>
      </c>
    </row>
    <row r="20" spans="1:24" x14ac:dyDescent="0.2">
      <c r="A20" s="1">
        <v>19</v>
      </c>
      <c r="B20" s="2">
        <v>45838</v>
      </c>
      <c r="C20" s="1" t="s">
        <v>120</v>
      </c>
      <c r="D20" s="1" t="s">
        <v>24</v>
      </c>
      <c r="E20" s="3">
        <v>0.44027777777777777</v>
      </c>
      <c r="F20" s="1">
        <v>37.9</v>
      </c>
      <c r="G20" s="1" t="s">
        <v>121</v>
      </c>
      <c r="H20" s="1" t="s">
        <v>122</v>
      </c>
      <c r="I20" s="1" t="s">
        <v>27</v>
      </c>
      <c r="J20" s="1" t="s">
        <v>123</v>
      </c>
      <c r="K20" s="1" t="s">
        <v>27</v>
      </c>
      <c r="L20" s="1">
        <v>73.3</v>
      </c>
      <c r="M20" s="1" t="s">
        <v>27</v>
      </c>
      <c r="N20" s="1" t="s">
        <v>27</v>
      </c>
      <c r="O20" s="1">
        <v>1300</v>
      </c>
      <c r="P20" s="1">
        <v>60</v>
      </c>
      <c r="Q20" s="1"/>
      <c r="R20" s="1" t="s">
        <v>124</v>
      </c>
      <c r="S20" s="1">
        <v>118</v>
      </c>
      <c r="T20" s="1">
        <v>49.2</v>
      </c>
      <c r="U20" s="1">
        <v>38.4</v>
      </c>
      <c r="V20" s="3">
        <v>0.4548611111111111</v>
      </c>
      <c r="W20" s="1" t="s">
        <v>30</v>
      </c>
      <c r="X20" s="1" t="s">
        <v>38</v>
      </c>
    </row>
    <row r="21" spans="1:24" x14ac:dyDescent="0.2">
      <c r="A21" s="1">
        <v>20</v>
      </c>
      <c r="B21" s="2">
        <v>45838</v>
      </c>
      <c r="C21" s="1" t="s">
        <v>120</v>
      </c>
      <c r="D21" s="1" t="s">
        <v>24</v>
      </c>
      <c r="E21" s="3">
        <v>0.44027777777777777</v>
      </c>
      <c r="F21" s="1">
        <v>37.5</v>
      </c>
      <c r="G21" s="1" t="s">
        <v>125</v>
      </c>
      <c r="H21" s="1" t="s">
        <v>126</v>
      </c>
      <c r="I21" s="1" t="s">
        <v>27</v>
      </c>
      <c r="J21" s="1" t="s">
        <v>127</v>
      </c>
      <c r="K21" s="1" t="s">
        <v>27</v>
      </c>
      <c r="L21" s="1">
        <v>76.099999999999994</v>
      </c>
      <c r="M21" s="1" t="s">
        <v>27</v>
      </c>
      <c r="N21" s="1" t="s">
        <v>27</v>
      </c>
      <c r="O21" s="1">
        <v>1150</v>
      </c>
      <c r="P21" s="1">
        <v>60</v>
      </c>
      <c r="Q21" s="1"/>
      <c r="R21" s="1" t="s">
        <v>128</v>
      </c>
      <c r="S21" s="1">
        <v>116.7</v>
      </c>
      <c r="T21" s="1">
        <v>44.1</v>
      </c>
      <c r="U21" s="1">
        <v>35.799999999999997</v>
      </c>
      <c r="V21" s="3">
        <v>0.4548611111111111</v>
      </c>
      <c r="W21" s="1" t="s">
        <v>129</v>
      </c>
      <c r="X21" s="5" t="s">
        <v>43</v>
      </c>
    </row>
    <row r="22" spans="1:24" x14ac:dyDescent="0.2">
      <c r="A22" s="1">
        <v>21</v>
      </c>
      <c r="B22" s="2">
        <v>45838</v>
      </c>
      <c r="C22" s="1" t="s">
        <v>120</v>
      </c>
      <c r="D22" s="1" t="s">
        <v>24</v>
      </c>
      <c r="E22" s="3">
        <v>0.44027777777777777</v>
      </c>
      <c r="F22" s="1">
        <v>40.299999999999997</v>
      </c>
      <c r="G22" s="1" t="s">
        <v>130</v>
      </c>
      <c r="H22" s="1" t="s">
        <v>131</v>
      </c>
      <c r="I22" s="1" t="s">
        <v>27</v>
      </c>
      <c r="J22" s="1" t="s">
        <v>132</v>
      </c>
      <c r="K22" s="1" t="s">
        <v>27</v>
      </c>
      <c r="L22" s="1">
        <v>78.599999999999994</v>
      </c>
      <c r="M22" s="1" t="s">
        <v>27</v>
      </c>
      <c r="N22" s="1" t="s">
        <v>27</v>
      </c>
      <c r="O22" s="1">
        <v>1560</v>
      </c>
      <c r="P22" s="1">
        <v>60</v>
      </c>
      <c r="Q22" s="1"/>
      <c r="R22" s="1" t="s">
        <v>133</v>
      </c>
      <c r="S22" s="1">
        <v>120.4</v>
      </c>
      <c r="T22" s="1">
        <v>47.9</v>
      </c>
      <c r="U22" s="1">
        <v>40.5</v>
      </c>
      <c r="V22" s="3">
        <v>0.4548611111111111</v>
      </c>
      <c r="W22" s="1" t="s">
        <v>30</v>
      </c>
      <c r="X22" s="1" t="s">
        <v>81</v>
      </c>
    </row>
    <row r="23" spans="1:24" x14ac:dyDescent="0.2">
      <c r="A23" s="1">
        <v>22</v>
      </c>
      <c r="B23" s="2">
        <v>45838</v>
      </c>
      <c r="C23" s="1" t="s">
        <v>134</v>
      </c>
      <c r="D23" s="1" t="s">
        <v>24</v>
      </c>
      <c r="E23" s="3">
        <v>0.46111111111111114</v>
      </c>
      <c r="F23" s="1">
        <v>33.799999999999997</v>
      </c>
      <c r="G23" s="1" t="s">
        <v>135</v>
      </c>
      <c r="H23" s="1" t="s">
        <v>136</v>
      </c>
      <c r="I23" s="1" t="s">
        <v>27</v>
      </c>
      <c r="J23" s="1" t="s">
        <v>137</v>
      </c>
      <c r="K23" s="1" t="s">
        <v>27</v>
      </c>
      <c r="L23" s="1">
        <v>82.7</v>
      </c>
      <c r="M23" s="1" t="s">
        <v>30</v>
      </c>
      <c r="N23" s="1" t="s">
        <v>30</v>
      </c>
      <c r="O23" s="1">
        <v>1720</v>
      </c>
      <c r="P23" s="1">
        <v>60</v>
      </c>
      <c r="Q23" s="1"/>
      <c r="R23" s="1" t="s">
        <v>138</v>
      </c>
      <c r="S23" s="1">
        <v>121.8</v>
      </c>
      <c r="T23" s="1">
        <v>51.4</v>
      </c>
      <c r="U23" s="1">
        <v>40</v>
      </c>
      <c r="V23" s="3">
        <v>0.47083333333333333</v>
      </c>
      <c r="W23" s="1" t="s">
        <v>139</v>
      </c>
      <c r="X23" s="1">
        <v>1</v>
      </c>
    </row>
    <row r="24" spans="1:24" x14ac:dyDescent="0.2">
      <c r="A24" s="1">
        <v>23</v>
      </c>
      <c r="B24" s="2">
        <v>45838</v>
      </c>
      <c r="C24" s="1" t="s">
        <v>134</v>
      </c>
      <c r="D24" s="1" t="s">
        <v>24</v>
      </c>
      <c r="E24" s="3">
        <v>0.46111111111111114</v>
      </c>
      <c r="F24" s="1">
        <v>32</v>
      </c>
      <c r="G24" s="1" t="s">
        <v>140</v>
      </c>
      <c r="H24" s="1" t="s">
        <v>141</v>
      </c>
      <c r="I24" s="1" t="s">
        <v>27</v>
      </c>
      <c r="J24" s="1" t="s">
        <v>142</v>
      </c>
      <c r="K24" s="1" t="s">
        <v>27</v>
      </c>
      <c r="L24" s="1">
        <v>78.8</v>
      </c>
      <c r="M24" s="1" t="s">
        <v>30</v>
      </c>
      <c r="N24" s="1" t="s">
        <v>30</v>
      </c>
      <c r="O24" s="1">
        <v>1390</v>
      </c>
      <c r="P24" s="1">
        <v>60</v>
      </c>
      <c r="Q24" s="1"/>
      <c r="R24" s="1" t="s">
        <v>143</v>
      </c>
      <c r="S24" s="1">
        <v>119.4</v>
      </c>
      <c r="T24" s="1">
        <v>47.6</v>
      </c>
      <c r="U24" s="1">
        <v>41</v>
      </c>
      <c r="V24" s="3">
        <v>0.47291666666666665</v>
      </c>
      <c r="W24" s="1" t="s">
        <v>144</v>
      </c>
      <c r="X24" s="1">
        <v>2</v>
      </c>
    </row>
    <row r="25" spans="1:24" x14ac:dyDescent="0.2">
      <c r="A25" s="1">
        <v>24</v>
      </c>
      <c r="B25" s="2">
        <v>45838</v>
      </c>
      <c r="C25" s="1" t="s">
        <v>145</v>
      </c>
      <c r="D25" s="1" t="s">
        <v>24</v>
      </c>
      <c r="E25" s="3">
        <v>0.4826388888888889</v>
      </c>
      <c r="F25" s="1">
        <v>40</v>
      </c>
      <c r="G25" s="1" t="s">
        <v>146</v>
      </c>
      <c r="H25" s="1" t="s">
        <v>147</v>
      </c>
      <c r="I25" s="1" t="s">
        <v>27</v>
      </c>
      <c r="J25" s="1" t="s">
        <v>46</v>
      </c>
      <c r="K25" s="1" t="s">
        <v>27</v>
      </c>
      <c r="L25" s="1">
        <v>81.3</v>
      </c>
      <c r="M25" s="1" t="s">
        <v>27</v>
      </c>
      <c r="N25" s="1" t="s">
        <v>27</v>
      </c>
      <c r="O25" s="1">
        <v>1750</v>
      </c>
      <c r="P25" s="1">
        <v>60</v>
      </c>
      <c r="Q25" s="1"/>
      <c r="R25" s="1" t="s">
        <v>148</v>
      </c>
      <c r="S25" s="1">
        <v>119.6</v>
      </c>
      <c r="T25" s="1">
        <v>46</v>
      </c>
      <c r="U25" s="1">
        <v>38.200000000000003</v>
      </c>
      <c r="V25" s="3">
        <v>0.49652777777777779</v>
      </c>
      <c r="W25" s="1" t="s">
        <v>30</v>
      </c>
      <c r="X25" s="1" t="s">
        <v>149</v>
      </c>
    </row>
    <row r="26" spans="1:24" x14ac:dyDescent="0.2">
      <c r="A26" s="1">
        <v>25</v>
      </c>
      <c r="B26" s="2">
        <v>45838</v>
      </c>
      <c r="C26" s="1" t="s">
        <v>145</v>
      </c>
      <c r="D26" s="1" t="s">
        <v>24</v>
      </c>
      <c r="E26" s="3">
        <v>0.4826388888888889</v>
      </c>
      <c r="F26" s="1">
        <v>39.299999999999997</v>
      </c>
      <c r="G26" s="1" t="s">
        <v>150</v>
      </c>
      <c r="H26" s="1" t="s">
        <v>151</v>
      </c>
      <c r="I26" s="1" t="s">
        <v>27</v>
      </c>
      <c r="J26" s="1" t="s">
        <v>152</v>
      </c>
      <c r="K26" s="1" t="s">
        <v>27</v>
      </c>
      <c r="L26" s="1">
        <v>75.900000000000006</v>
      </c>
      <c r="M26" s="1" t="s">
        <v>27</v>
      </c>
      <c r="N26" s="1" t="s">
        <v>27</v>
      </c>
      <c r="O26" s="1">
        <v>1230</v>
      </c>
      <c r="P26" s="1">
        <v>60</v>
      </c>
      <c r="Q26" s="1"/>
      <c r="R26" s="1" t="s">
        <v>153</v>
      </c>
      <c r="S26" s="1">
        <v>103</v>
      </c>
      <c r="T26" s="1">
        <v>42.4</v>
      </c>
      <c r="U26" s="1">
        <v>39.5</v>
      </c>
      <c r="V26" s="3">
        <v>0.49652777777777779</v>
      </c>
      <c r="W26" s="1" t="s">
        <v>154</v>
      </c>
      <c r="X26" s="1" t="s">
        <v>155</v>
      </c>
    </row>
    <row r="27" spans="1:24" x14ac:dyDescent="0.2">
      <c r="A27" s="1">
        <v>26</v>
      </c>
      <c r="B27" s="2">
        <v>45838</v>
      </c>
      <c r="C27" s="1" t="s">
        <v>156</v>
      </c>
      <c r="D27" s="1" t="s">
        <v>24</v>
      </c>
      <c r="E27" s="3">
        <v>0.4826388888888889</v>
      </c>
      <c r="F27" s="1">
        <v>35.5</v>
      </c>
      <c r="G27" s="1" t="s">
        <v>157</v>
      </c>
      <c r="H27" s="1" t="s">
        <v>158</v>
      </c>
      <c r="I27" s="1" t="s">
        <v>27</v>
      </c>
      <c r="J27" s="1" t="s">
        <v>159</v>
      </c>
      <c r="K27" s="1" t="s">
        <v>27</v>
      </c>
      <c r="L27" s="1">
        <v>84.1</v>
      </c>
      <c r="M27" s="1" t="s">
        <v>27</v>
      </c>
      <c r="N27" s="1" t="s">
        <v>27</v>
      </c>
      <c r="O27" s="1">
        <v>1440</v>
      </c>
      <c r="P27" s="1">
        <v>60</v>
      </c>
      <c r="Q27" s="1"/>
      <c r="R27" s="1" t="s">
        <v>160</v>
      </c>
      <c r="S27" s="1">
        <v>119.2</v>
      </c>
      <c r="T27" s="1">
        <v>46.1</v>
      </c>
      <c r="U27" s="1">
        <v>41.2</v>
      </c>
      <c r="V27" s="3">
        <v>0.49652777777777779</v>
      </c>
      <c r="W27" s="1" t="s">
        <v>30</v>
      </c>
      <c r="X27" s="1"/>
    </row>
    <row r="28" spans="1:24" x14ac:dyDescent="0.2">
      <c r="A28" s="1">
        <v>27</v>
      </c>
      <c r="B28" s="2">
        <v>45838</v>
      </c>
      <c r="C28" s="1" t="s">
        <v>161</v>
      </c>
      <c r="D28" s="1" t="s">
        <v>24</v>
      </c>
      <c r="E28" s="3">
        <v>0.57152777777777775</v>
      </c>
      <c r="F28" s="1">
        <v>40.9</v>
      </c>
      <c r="G28" s="1" t="s">
        <v>162</v>
      </c>
      <c r="H28" s="1" t="s">
        <v>163</v>
      </c>
      <c r="I28" s="1" t="s">
        <v>27</v>
      </c>
      <c r="J28" s="1" t="s">
        <v>164</v>
      </c>
      <c r="K28" s="1" t="s">
        <v>27</v>
      </c>
      <c r="L28" s="1">
        <v>79.599999999999994</v>
      </c>
      <c r="M28" s="1" t="s">
        <v>27</v>
      </c>
      <c r="N28" s="1" t="s">
        <v>27</v>
      </c>
      <c r="O28" s="1">
        <v>1360</v>
      </c>
      <c r="P28" s="1">
        <v>60</v>
      </c>
      <c r="Q28" s="1"/>
      <c r="R28" s="1" t="s">
        <v>165</v>
      </c>
      <c r="S28" s="1">
        <v>117.1</v>
      </c>
      <c r="T28" s="1">
        <v>45.5</v>
      </c>
      <c r="U28" s="1">
        <v>39.5</v>
      </c>
      <c r="V28" s="3">
        <v>0.58263888888888893</v>
      </c>
      <c r="W28" s="1" t="s">
        <v>166</v>
      </c>
      <c r="X28" s="1" t="s">
        <v>38</v>
      </c>
    </row>
    <row r="29" spans="1:24" x14ac:dyDescent="0.2">
      <c r="A29" s="1">
        <v>28</v>
      </c>
      <c r="B29" s="2">
        <v>45838</v>
      </c>
      <c r="C29" s="1" t="s">
        <v>167</v>
      </c>
      <c r="D29" s="1" t="s">
        <v>24</v>
      </c>
      <c r="E29" s="3">
        <v>0.57152777777777775</v>
      </c>
      <c r="F29" s="1">
        <v>37</v>
      </c>
      <c r="G29" s="1" t="s">
        <v>168</v>
      </c>
      <c r="H29" s="1" t="s">
        <v>169</v>
      </c>
      <c r="I29" s="1" t="s">
        <v>27</v>
      </c>
      <c r="J29" s="1" t="s">
        <v>170</v>
      </c>
      <c r="K29" s="1" t="s">
        <v>27</v>
      </c>
      <c r="L29" s="1">
        <v>77.2</v>
      </c>
      <c r="M29" s="1" t="s">
        <v>27</v>
      </c>
      <c r="N29" s="1" t="s">
        <v>27</v>
      </c>
      <c r="O29" s="1">
        <v>1340</v>
      </c>
      <c r="P29" s="1">
        <v>60</v>
      </c>
      <c r="Q29" s="1"/>
      <c r="R29" s="1" t="s">
        <v>171</v>
      </c>
      <c r="S29" s="1">
        <v>116.7</v>
      </c>
      <c r="T29" s="1">
        <v>47.2</v>
      </c>
      <c r="U29" s="1">
        <v>41.3</v>
      </c>
      <c r="V29" s="3">
        <v>0.58194444444444449</v>
      </c>
      <c r="W29" s="1" t="s">
        <v>172</v>
      </c>
      <c r="X29" s="1" t="s">
        <v>43</v>
      </c>
    </row>
    <row r="30" spans="1:24" x14ac:dyDescent="0.2">
      <c r="A30" s="1">
        <v>29</v>
      </c>
      <c r="B30" s="2">
        <v>45838</v>
      </c>
      <c r="C30" s="1" t="s">
        <v>173</v>
      </c>
      <c r="D30" s="1" t="s">
        <v>24</v>
      </c>
      <c r="E30" s="3">
        <v>0.58888888888888891</v>
      </c>
      <c r="F30" s="1">
        <v>36.1</v>
      </c>
      <c r="G30" s="1" t="s">
        <v>174</v>
      </c>
      <c r="H30" s="1" t="s">
        <v>175</v>
      </c>
      <c r="I30" s="1" t="s">
        <v>27</v>
      </c>
      <c r="J30" s="1" t="s">
        <v>176</v>
      </c>
      <c r="K30" s="1" t="s">
        <v>27</v>
      </c>
      <c r="L30" s="1">
        <v>83</v>
      </c>
      <c r="M30" s="1" t="s">
        <v>30</v>
      </c>
      <c r="N30" s="1" t="s">
        <v>30</v>
      </c>
      <c r="O30" s="1">
        <v>1820</v>
      </c>
      <c r="P30" s="1">
        <v>60</v>
      </c>
      <c r="Q30" s="1"/>
      <c r="R30" s="1" t="s">
        <v>177</v>
      </c>
      <c r="S30" s="1">
        <v>131.5</v>
      </c>
      <c r="T30" s="1">
        <v>49.6</v>
      </c>
      <c r="U30" s="1">
        <v>43.8</v>
      </c>
      <c r="V30" s="3">
        <v>0.59861111111111109</v>
      </c>
      <c r="W30" s="1" t="s">
        <v>178</v>
      </c>
      <c r="X30" s="1" t="s">
        <v>30</v>
      </c>
    </row>
    <row r="31" spans="1:24" x14ac:dyDescent="0.2">
      <c r="A31" s="1">
        <v>30</v>
      </c>
      <c r="B31" s="2">
        <v>45838</v>
      </c>
      <c r="C31" s="1" t="s">
        <v>173</v>
      </c>
      <c r="D31" s="1" t="s">
        <v>24</v>
      </c>
      <c r="E31" s="3">
        <v>0.58888888888888891</v>
      </c>
      <c r="F31" s="1">
        <v>32.299999999999997</v>
      </c>
      <c r="G31" s="1" t="s">
        <v>179</v>
      </c>
      <c r="H31" s="1" t="s">
        <v>180</v>
      </c>
      <c r="I31" s="1" t="s">
        <v>27</v>
      </c>
      <c r="J31" s="1" t="s">
        <v>181</v>
      </c>
      <c r="K31" s="1" t="s">
        <v>27</v>
      </c>
      <c r="L31" s="1">
        <v>81.8</v>
      </c>
      <c r="M31" s="1" t="s">
        <v>30</v>
      </c>
      <c r="N31" s="1" t="s">
        <v>30</v>
      </c>
      <c r="O31" s="1">
        <v>1570</v>
      </c>
      <c r="P31" s="1">
        <v>60</v>
      </c>
      <c r="Q31" s="1"/>
      <c r="R31" s="1" t="s">
        <v>182</v>
      </c>
      <c r="S31" s="1">
        <v>129.30000000000001</v>
      </c>
      <c r="T31" s="1">
        <v>50.4</v>
      </c>
      <c r="U31" s="1">
        <v>38.5</v>
      </c>
      <c r="V31" s="3">
        <v>0.59861111111111109</v>
      </c>
      <c r="W31" s="1" t="s">
        <v>183</v>
      </c>
      <c r="X31" s="1" t="s">
        <v>30</v>
      </c>
    </row>
    <row r="32" spans="1:24" x14ac:dyDescent="0.2">
      <c r="A32" s="1">
        <v>31</v>
      </c>
      <c r="B32" s="2">
        <v>45838</v>
      </c>
      <c r="C32" s="1" t="s">
        <v>184</v>
      </c>
      <c r="D32" s="1" t="s">
        <v>24</v>
      </c>
      <c r="E32" s="3">
        <v>0.62361111111111112</v>
      </c>
      <c r="F32" s="1">
        <v>34.700000000000003</v>
      </c>
      <c r="G32" s="1" t="s">
        <v>185</v>
      </c>
      <c r="H32" s="1" t="s">
        <v>186</v>
      </c>
      <c r="I32" s="1" t="s">
        <v>27</v>
      </c>
      <c r="J32" s="1" t="s">
        <v>187</v>
      </c>
      <c r="K32" s="1" t="s">
        <v>27</v>
      </c>
      <c r="L32" s="1">
        <v>73.7</v>
      </c>
      <c r="M32" s="1" t="s">
        <v>30</v>
      </c>
      <c r="N32" s="1" t="s">
        <v>30</v>
      </c>
      <c r="O32" s="1">
        <v>1420</v>
      </c>
      <c r="P32" s="1">
        <v>60</v>
      </c>
      <c r="Q32" s="1"/>
      <c r="R32" s="1" t="s">
        <v>188</v>
      </c>
      <c r="S32" s="1">
        <v>121.6</v>
      </c>
      <c r="T32" s="1">
        <v>45.5</v>
      </c>
      <c r="U32" s="1">
        <v>39.5</v>
      </c>
      <c r="V32" s="3">
        <v>0.63194444444444442</v>
      </c>
      <c r="W32" s="1" t="s">
        <v>189</v>
      </c>
      <c r="X32" s="1" t="s">
        <v>38</v>
      </c>
    </row>
    <row r="33" spans="1:24" x14ac:dyDescent="0.2">
      <c r="A33" s="1">
        <v>32</v>
      </c>
      <c r="B33" s="2">
        <v>45838</v>
      </c>
      <c r="C33" s="1" t="s">
        <v>378</v>
      </c>
      <c r="D33" s="1" t="s">
        <v>24</v>
      </c>
      <c r="E33" s="3">
        <v>0.64236111111111116</v>
      </c>
      <c r="F33" s="1">
        <v>28.6</v>
      </c>
      <c r="G33" s="1" t="s">
        <v>190</v>
      </c>
      <c r="H33" s="1" t="s">
        <v>191</v>
      </c>
      <c r="I33" s="1" t="s">
        <v>27</v>
      </c>
      <c r="J33" s="1" t="s">
        <v>192</v>
      </c>
      <c r="K33" s="1" t="s">
        <v>27</v>
      </c>
      <c r="L33" s="1">
        <v>83.1</v>
      </c>
      <c r="M33" s="1" t="s">
        <v>30</v>
      </c>
      <c r="N33" s="1" t="s">
        <v>30</v>
      </c>
      <c r="O33" s="1">
        <v>1510</v>
      </c>
      <c r="P33" s="1">
        <v>60</v>
      </c>
      <c r="Q33" s="1"/>
      <c r="R33" s="1" t="s">
        <v>193</v>
      </c>
      <c r="S33" s="1">
        <v>124.2</v>
      </c>
      <c r="T33" s="1">
        <v>52.4</v>
      </c>
      <c r="U33" s="1">
        <v>37.700000000000003</v>
      </c>
      <c r="V33" s="3">
        <v>0.65416666666666667</v>
      </c>
      <c r="W33" s="1" t="s">
        <v>194</v>
      </c>
      <c r="X33" s="1" t="s">
        <v>30</v>
      </c>
    </row>
    <row r="34" spans="1:24" x14ac:dyDescent="0.2">
      <c r="A34" s="1">
        <v>33</v>
      </c>
      <c r="B34" s="2">
        <v>45838</v>
      </c>
      <c r="C34" s="1" t="s">
        <v>378</v>
      </c>
      <c r="D34" s="1" t="s">
        <v>24</v>
      </c>
      <c r="E34" s="3">
        <v>0.64236111111111116</v>
      </c>
      <c r="F34" s="1">
        <v>23.7</v>
      </c>
      <c r="G34" s="1" t="s">
        <v>195</v>
      </c>
      <c r="H34" s="1" t="s">
        <v>196</v>
      </c>
      <c r="I34" s="1" t="s">
        <v>27</v>
      </c>
      <c r="J34" s="1" t="s">
        <v>197</v>
      </c>
      <c r="K34" s="1" t="s">
        <v>27</v>
      </c>
      <c r="L34" s="1">
        <v>76.099999999999994</v>
      </c>
      <c r="M34" s="1" t="s">
        <v>30</v>
      </c>
      <c r="N34" s="1" t="s">
        <v>30</v>
      </c>
      <c r="O34" s="1">
        <v>1440</v>
      </c>
      <c r="P34" s="1">
        <v>70</v>
      </c>
      <c r="Q34" s="1"/>
      <c r="R34" s="1" t="s">
        <v>198</v>
      </c>
      <c r="S34" s="1">
        <v>114.3</v>
      </c>
      <c r="T34" s="1">
        <v>44.7</v>
      </c>
      <c r="U34" s="1">
        <v>40.799999999999997</v>
      </c>
      <c r="V34" s="3">
        <v>0.65763888888888888</v>
      </c>
      <c r="W34" s="1" t="s">
        <v>30</v>
      </c>
      <c r="X34" s="1"/>
    </row>
    <row r="35" spans="1:24" x14ac:dyDescent="0.2">
      <c r="A35" s="1">
        <v>34</v>
      </c>
      <c r="B35" s="2">
        <v>45838</v>
      </c>
      <c r="C35" s="1" t="s">
        <v>378</v>
      </c>
      <c r="D35" s="1" t="s">
        <v>24</v>
      </c>
      <c r="E35" s="3">
        <v>0.64236111111111116</v>
      </c>
      <c r="F35" s="1">
        <v>28.5</v>
      </c>
      <c r="G35" s="1" t="s">
        <v>199</v>
      </c>
      <c r="H35" s="1" t="s">
        <v>200</v>
      </c>
      <c r="I35" s="1" t="s">
        <v>27</v>
      </c>
      <c r="J35" s="1" t="s">
        <v>201</v>
      </c>
      <c r="K35" s="1" t="s">
        <v>27</v>
      </c>
      <c r="L35" s="1">
        <v>79.099999999999994</v>
      </c>
      <c r="M35" s="1" t="s">
        <v>30</v>
      </c>
      <c r="N35" s="1" t="s">
        <v>30</v>
      </c>
      <c r="O35" s="1">
        <v>1200</v>
      </c>
      <c r="P35" s="1">
        <v>60</v>
      </c>
      <c r="Q35" s="1"/>
      <c r="R35" s="1" t="s">
        <v>202</v>
      </c>
      <c r="S35" s="1">
        <v>112.3</v>
      </c>
      <c r="T35" s="1">
        <v>48.1</v>
      </c>
      <c r="U35" s="1">
        <v>41.5</v>
      </c>
      <c r="V35" s="3">
        <v>0.65763888888888888</v>
      </c>
      <c r="W35" s="1" t="s">
        <v>30</v>
      </c>
      <c r="X35" s="1"/>
    </row>
    <row r="36" spans="1:24" x14ac:dyDescent="0.2">
      <c r="A36" s="1">
        <v>35</v>
      </c>
      <c r="B36" s="2">
        <v>45838</v>
      </c>
      <c r="C36" s="1" t="s">
        <v>203</v>
      </c>
      <c r="D36" s="1" t="s">
        <v>24</v>
      </c>
      <c r="E36" s="3">
        <v>0.69444444444444442</v>
      </c>
      <c r="F36" s="1">
        <v>39.4</v>
      </c>
      <c r="G36" s="1" t="s">
        <v>204</v>
      </c>
      <c r="H36" s="1" t="s">
        <v>205</v>
      </c>
      <c r="I36" s="1" t="s">
        <v>27</v>
      </c>
      <c r="J36" s="6" t="s">
        <v>206</v>
      </c>
      <c r="K36" s="1" t="s">
        <v>27</v>
      </c>
      <c r="L36" s="1">
        <v>77</v>
      </c>
      <c r="M36" s="1" t="s">
        <v>27</v>
      </c>
      <c r="N36" s="1" t="s">
        <v>27</v>
      </c>
      <c r="O36" s="1">
        <v>1305</v>
      </c>
      <c r="P36" s="1">
        <v>60</v>
      </c>
      <c r="Q36" s="1"/>
      <c r="R36" s="1" t="s">
        <v>207</v>
      </c>
      <c r="S36" s="1">
        <v>114.6</v>
      </c>
      <c r="T36" s="1">
        <v>46.8</v>
      </c>
      <c r="U36" s="1">
        <v>41.9</v>
      </c>
      <c r="V36" s="3">
        <v>0.70694444444444449</v>
      </c>
      <c r="W36" s="1" t="s">
        <v>30</v>
      </c>
      <c r="X36" s="1"/>
    </row>
    <row r="37" spans="1:24" x14ac:dyDescent="0.2">
      <c r="A37" s="1">
        <v>36</v>
      </c>
      <c r="B37" s="2">
        <v>45838</v>
      </c>
      <c r="C37" s="1" t="s">
        <v>203</v>
      </c>
      <c r="D37" s="1" t="s">
        <v>24</v>
      </c>
      <c r="E37" s="3">
        <v>0.69444444444444442</v>
      </c>
      <c r="F37" s="1">
        <v>37.5</v>
      </c>
      <c r="G37" s="1" t="s">
        <v>208</v>
      </c>
      <c r="H37" s="1" t="s">
        <v>209</v>
      </c>
      <c r="I37" s="1" t="s">
        <v>27</v>
      </c>
      <c r="J37" s="1" t="s">
        <v>210</v>
      </c>
      <c r="K37" s="1" t="s">
        <v>27</v>
      </c>
      <c r="L37" s="1">
        <v>75.3</v>
      </c>
      <c r="M37" s="1" t="s">
        <v>27</v>
      </c>
      <c r="N37" s="1" t="s">
        <v>27</v>
      </c>
      <c r="O37" s="1">
        <v>1210</v>
      </c>
      <c r="P37" s="1">
        <v>60</v>
      </c>
      <c r="Q37" s="1"/>
      <c r="R37" s="1" t="s">
        <v>211</v>
      </c>
      <c r="S37" s="1">
        <v>112</v>
      </c>
      <c r="T37" s="1">
        <v>47.5</v>
      </c>
      <c r="U37" s="1">
        <v>41.4</v>
      </c>
      <c r="V37" s="3">
        <v>0.70972222222222225</v>
      </c>
      <c r="W37" s="1" t="s">
        <v>212</v>
      </c>
      <c r="X37" s="1"/>
    </row>
    <row r="38" spans="1:24" x14ac:dyDescent="0.2">
      <c r="A38" s="1">
        <v>37</v>
      </c>
      <c r="B38" s="2">
        <v>45838</v>
      </c>
      <c r="C38" s="6" t="s">
        <v>213</v>
      </c>
      <c r="D38" s="1" t="s">
        <v>24</v>
      </c>
      <c r="E38" s="3">
        <v>0.73263888888888884</v>
      </c>
      <c r="F38" s="1">
        <v>34.9</v>
      </c>
      <c r="G38" s="1" t="s">
        <v>214</v>
      </c>
      <c r="H38" s="1" t="s">
        <v>215</v>
      </c>
      <c r="I38" s="1" t="s">
        <v>27</v>
      </c>
      <c r="J38" s="1" t="s">
        <v>216</v>
      </c>
      <c r="K38" s="1" t="s">
        <v>27</v>
      </c>
      <c r="L38" s="1">
        <v>76.400000000000006</v>
      </c>
      <c r="M38" s="1" t="s">
        <v>27</v>
      </c>
      <c r="N38" s="1" t="s">
        <v>27</v>
      </c>
      <c r="O38" s="1" t="s">
        <v>30</v>
      </c>
      <c r="P38" s="1" t="s">
        <v>30</v>
      </c>
      <c r="Q38" s="1"/>
      <c r="R38" s="1" t="s">
        <v>217</v>
      </c>
      <c r="S38" s="1">
        <v>123.3</v>
      </c>
      <c r="T38" s="1">
        <v>50.4</v>
      </c>
      <c r="U38" s="1">
        <v>36.700000000000003</v>
      </c>
      <c r="V38" s="3">
        <v>0.74375000000000002</v>
      </c>
      <c r="W38" s="1" t="s">
        <v>218</v>
      </c>
      <c r="X38" s="1" t="s">
        <v>81</v>
      </c>
    </row>
    <row r="39" spans="1:24" x14ac:dyDescent="0.2">
      <c r="A39" s="1">
        <v>38</v>
      </c>
      <c r="B39" s="2">
        <v>45839</v>
      </c>
      <c r="C39" s="1" t="s">
        <v>389</v>
      </c>
      <c r="D39" s="1" t="s">
        <v>24</v>
      </c>
      <c r="E39" s="3">
        <v>0.2673611111111111</v>
      </c>
      <c r="F39" s="1">
        <v>27.1</v>
      </c>
      <c r="G39" s="1" t="s">
        <v>219</v>
      </c>
      <c r="H39" s="1" t="s">
        <v>220</v>
      </c>
      <c r="I39" s="1" t="s">
        <v>27</v>
      </c>
      <c r="J39" s="1" t="s">
        <v>221</v>
      </c>
      <c r="K39" s="1" t="s">
        <v>27</v>
      </c>
      <c r="L39" s="1">
        <v>82.5</v>
      </c>
      <c r="M39" s="1" t="s">
        <v>30</v>
      </c>
      <c r="N39" s="1" t="s">
        <v>30</v>
      </c>
      <c r="O39" s="1">
        <v>1600</v>
      </c>
      <c r="P39" s="1">
        <v>60</v>
      </c>
      <c r="Q39" s="1"/>
      <c r="R39" s="1" t="s">
        <v>222</v>
      </c>
      <c r="S39" s="1">
        <v>122.9</v>
      </c>
      <c r="T39" s="1" t="s">
        <v>30</v>
      </c>
      <c r="U39" s="1">
        <v>39.700000000000003</v>
      </c>
      <c r="V39" s="3">
        <v>0.28402777777777777</v>
      </c>
      <c r="W39" s="1" t="s">
        <v>223</v>
      </c>
      <c r="X39" s="1"/>
    </row>
    <row r="40" spans="1:24" x14ac:dyDescent="0.2">
      <c r="A40" s="1">
        <v>39</v>
      </c>
      <c r="B40" s="2">
        <v>45839</v>
      </c>
      <c r="C40" s="1" t="s">
        <v>389</v>
      </c>
      <c r="D40" s="1" t="s">
        <v>24</v>
      </c>
      <c r="E40" s="3">
        <v>0.2673611111111111</v>
      </c>
      <c r="F40" s="1">
        <v>24.5</v>
      </c>
      <c r="G40" s="1" t="s">
        <v>224</v>
      </c>
      <c r="H40" s="1" t="s">
        <v>225</v>
      </c>
      <c r="I40" s="1" t="s">
        <v>27</v>
      </c>
      <c r="J40" s="1" t="s">
        <v>226</v>
      </c>
      <c r="K40" s="1" t="s">
        <v>27</v>
      </c>
      <c r="L40" s="1">
        <v>78.400000000000006</v>
      </c>
      <c r="M40" s="1" t="s">
        <v>30</v>
      </c>
      <c r="N40" s="1" t="s">
        <v>30</v>
      </c>
      <c r="O40" s="1">
        <v>1360</v>
      </c>
      <c r="P40" s="1">
        <v>60</v>
      </c>
      <c r="Q40" s="1"/>
      <c r="R40" s="1" t="s">
        <v>227</v>
      </c>
      <c r="S40" s="1">
        <v>124.5</v>
      </c>
      <c r="T40" s="1">
        <v>46.2</v>
      </c>
      <c r="U40" s="1">
        <v>40.799999999999997</v>
      </c>
      <c r="V40" s="3">
        <v>0.28402777777777777</v>
      </c>
      <c r="W40" s="1" t="s">
        <v>228</v>
      </c>
      <c r="X40" s="1"/>
    </row>
    <row r="41" spans="1:24" x14ac:dyDescent="0.2">
      <c r="A41" s="1">
        <v>40</v>
      </c>
      <c r="B41" s="2">
        <v>45839</v>
      </c>
      <c r="C41" s="1" t="s">
        <v>390</v>
      </c>
      <c r="D41" s="1" t="s">
        <v>24</v>
      </c>
      <c r="E41" s="3">
        <v>0.28819444444444442</v>
      </c>
      <c r="F41" s="1">
        <v>30.3</v>
      </c>
      <c r="G41" s="1" t="s">
        <v>229</v>
      </c>
      <c r="H41" s="1" t="s">
        <v>230</v>
      </c>
      <c r="I41" s="1" t="s">
        <v>27</v>
      </c>
      <c r="J41" s="1" t="s">
        <v>231</v>
      </c>
      <c r="K41" s="1" t="s">
        <v>27</v>
      </c>
      <c r="L41" s="1">
        <v>76.3</v>
      </c>
      <c r="M41" s="1" t="s">
        <v>30</v>
      </c>
      <c r="N41" s="1" t="s">
        <v>30</v>
      </c>
      <c r="O41" s="1">
        <v>1360</v>
      </c>
      <c r="P41" s="1">
        <v>60</v>
      </c>
      <c r="Q41" s="1"/>
      <c r="R41" s="1" t="s">
        <v>232</v>
      </c>
      <c r="S41" s="1">
        <v>117.9</v>
      </c>
      <c r="T41" s="1" t="s">
        <v>30</v>
      </c>
      <c r="U41" s="1">
        <v>36.299999999999997</v>
      </c>
      <c r="V41" s="3">
        <v>0.30208333333333331</v>
      </c>
      <c r="W41" s="1" t="s">
        <v>233</v>
      </c>
      <c r="X41" s="1"/>
    </row>
    <row r="42" spans="1:24" x14ac:dyDescent="0.2">
      <c r="A42" s="1">
        <v>41</v>
      </c>
      <c r="B42" s="2">
        <v>45839</v>
      </c>
      <c r="C42" s="1" t="s">
        <v>390</v>
      </c>
      <c r="D42" s="1" t="s">
        <v>24</v>
      </c>
      <c r="E42" s="3">
        <v>0.28819444444444442</v>
      </c>
      <c r="F42" s="1">
        <v>29.8</v>
      </c>
      <c r="G42" s="1" t="s">
        <v>234</v>
      </c>
      <c r="H42" s="1" t="s">
        <v>235</v>
      </c>
      <c r="I42" s="1" t="s">
        <v>27</v>
      </c>
      <c r="J42" s="1" t="s">
        <v>236</v>
      </c>
      <c r="K42" s="1" t="s">
        <v>27</v>
      </c>
      <c r="L42" s="1">
        <v>71.099999999999994</v>
      </c>
      <c r="M42" s="1" t="s">
        <v>30</v>
      </c>
      <c r="N42" s="1" t="s">
        <v>30</v>
      </c>
      <c r="O42" s="1">
        <v>970</v>
      </c>
      <c r="P42" s="1">
        <v>80</v>
      </c>
      <c r="Q42" s="1"/>
      <c r="R42" s="1" t="s">
        <v>237</v>
      </c>
      <c r="S42" s="1">
        <v>109.8</v>
      </c>
      <c r="T42" s="1" t="s">
        <v>30</v>
      </c>
      <c r="U42" s="1">
        <v>40.200000000000003</v>
      </c>
      <c r="V42" s="1" t="s">
        <v>30</v>
      </c>
      <c r="W42" s="1" t="s">
        <v>30</v>
      </c>
      <c r="X42" s="1"/>
    </row>
    <row r="43" spans="1:24" x14ac:dyDescent="0.2">
      <c r="A43" s="1">
        <v>42</v>
      </c>
      <c r="B43" s="2">
        <v>45839</v>
      </c>
      <c r="C43" s="1" t="s">
        <v>238</v>
      </c>
      <c r="D43" s="1" t="s">
        <v>24</v>
      </c>
      <c r="E43" s="3">
        <v>0.39027777777777778</v>
      </c>
      <c r="F43" s="1">
        <v>26.3</v>
      </c>
      <c r="G43" s="1" t="s">
        <v>239</v>
      </c>
      <c r="H43" s="1" t="s">
        <v>240</v>
      </c>
      <c r="I43" s="1" t="s">
        <v>27</v>
      </c>
      <c r="J43" s="1" t="s">
        <v>241</v>
      </c>
      <c r="K43" s="1" t="s">
        <v>27</v>
      </c>
      <c r="L43" s="1">
        <v>79.900000000000006</v>
      </c>
      <c r="M43" s="1" t="s">
        <v>30</v>
      </c>
      <c r="N43" s="1" t="s">
        <v>30</v>
      </c>
      <c r="O43" s="1">
        <v>1240</v>
      </c>
      <c r="P43" s="1">
        <v>80</v>
      </c>
      <c r="Q43" s="1"/>
      <c r="R43" s="1" t="s">
        <v>242</v>
      </c>
      <c r="S43" s="1">
        <v>128</v>
      </c>
      <c r="T43" s="1" t="s">
        <v>30</v>
      </c>
      <c r="U43" s="1">
        <v>41.8</v>
      </c>
      <c r="V43" s="3">
        <v>0.40486111111111112</v>
      </c>
      <c r="W43" s="1" t="s">
        <v>243</v>
      </c>
      <c r="X43" s="1"/>
    </row>
    <row r="44" spans="1:24" x14ac:dyDescent="0.2">
      <c r="A44" s="1">
        <v>43</v>
      </c>
      <c r="B44" s="2">
        <v>45839</v>
      </c>
      <c r="C44" s="1" t="s">
        <v>238</v>
      </c>
      <c r="D44" s="1" t="s">
        <v>24</v>
      </c>
      <c r="E44" s="3">
        <v>0.39027777777777778</v>
      </c>
      <c r="F44" s="1">
        <v>27.4</v>
      </c>
      <c r="G44" s="1" t="s">
        <v>244</v>
      </c>
      <c r="H44" s="1" t="s">
        <v>245</v>
      </c>
      <c r="I44" s="1" t="s">
        <v>27</v>
      </c>
      <c r="J44" s="1" t="s">
        <v>246</v>
      </c>
      <c r="K44" s="1" t="s">
        <v>27</v>
      </c>
      <c r="L44" s="1">
        <v>83</v>
      </c>
      <c r="M44" s="1" t="s">
        <v>30</v>
      </c>
      <c r="N44" s="1" t="s">
        <v>30</v>
      </c>
      <c r="O44" s="1">
        <v>1620</v>
      </c>
      <c r="P44" s="1">
        <v>80</v>
      </c>
      <c r="Q44" s="1"/>
      <c r="R44" s="1" t="s">
        <v>247</v>
      </c>
      <c r="S44" s="1">
        <v>130</v>
      </c>
      <c r="T44" s="1" t="s">
        <v>30</v>
      </c>
      <c r="U44" s="1">
        <v>39.200000000000003</v>
      </c>
      <c r="V44" s="3">
        <v>0.40486111111111112</v>
      </c>
      <c r="W44" s="1" t="s">
        <v>248</v>
      </c>
      <c r="X44" s="1"/>
    </row>
    <row r="45" spans="1:24" x14ac:dyDescent="0.2">
      <c r="A45" s="1">
        <v>44</v>
      </c>
      <c r="B45" s="2">
        <v>45839</v>
      </c>
      <c r="C45" s="1" t="s">
        <v>249</v>
      </c>
      <c r="D45" s="1" t="s">
        <v>24</v>
      </c>
      <c r="E45" s="3">
        <v>0.44374999999999998</v>
      </c>
      <c r="F45" s="1">
        <v>35.1</v>
      </c>
      <c r="G45" s="1" t="s">
        <v>250</v>
      </c>
      <c r="H45" s="1" t="s">
        <v>251</v>
      </c>
      <c r="I45" s="1" t="s">
        <v>27</v>
      </c>
      <c r="J45" s="1" t="s">
        <v>252</v>
      </c>
      <c r="K45" s="1" t="s">
        <v>27</v>
      </c>
      <c r="L45" s="1">
        <v>82.6</v>
      </c>
      <c r="M45" s="1" t="s">
        <v>30</v>
      </c>
      <c r="N45" s="1" t="s">
        <v>30</v>
      </c>
      <c r="O45" s="1">
        <v>1460</v>
      </c>
      <c r="P45" s="1">
        <v>80</v>
      </c>
      <c r="Q45" s="1"/>
      <c r="R45" s="1" t="s">
        <v>253</v>
      </c>
      <c r="S45" s="1">
        <v>123.8</v>
      </c>
      <c r="T45" s="1" t="s">
        <v>30</v>
      </c>
      <c r="U45" s="1">
        <v>40</v>
      </c>
      <c r="V45" s="3">
        <v>0.45277777777777778</v>
      </c>
      <c r="W45" s="1" t="s">
        <v>30</v>
      </c>
      <c r="X45" s="1"/>
    </row>
    <row r="46" spans="1:24" x14ac:dyDescent="0.2">
      <c r="A46" s="1">
        <v>45</v>
      </c>
      <c r="B46" s="2">
        <v>45839</v>
      </c>
      <c r="C46" s="1" t="s">
        <v>254</v>
      </c>
      <c r="D46" s="1" t="s">
        <v>24</v>
      </c>
      <c r="E46" s="3">
        <v>0.50486111111111109</v>
      </c>
      <c r="F46" s="1">
        <v>40.4</v>
      </c>
      <c r="G46" s="1" t="s">
        <v>255</v>
      </c>
      <c r="H46" s="1" t="s">
        <v>256</v>
      </c>
      <c r="I46" s="1" t="s">
        <v>27</v>
      </c>
      <c r="J46" s="1" t="s">
        <v>258</v>
      </c>
      <c r="K46" s="1" t="s">
        <v>27</v>
      </c>
      <c r="L46" s="1">
        <v>76.7</v>
      </c>
      <c r="M46" s="1" t="s">
        <v>30</v>
      </c>
      <c r="N46" s="1" t="s">
        <v>30</v>
      </c>
      <c r="O46" s="1">
        <v>1390</v>
      </c>
      <c r="P46" s="1">
        <v>60</v>
      </c>
      <c r="Q46" s="1"/>
      <c r="R46" s="1" t="s">
        <v>259</v>
      </c>
      <c r="S46" s="1">
        <v>121.9</v>
      </c>
      <c r="T46" s="1" t="s">
        <v>30</v>
      </c>
      <c r="U46" s="1">
        <v>42.3</v>
      </c>
      <c r="V46" s="3">
        <v>0.51527777777777772</v>
      </c>
      <c r="W46" s="1" t="s">
        <v>260</v>
      </c>
      <c r="X46" s="1"/>
    </row>
    <row r="47" spans="1:24" x14ac:dyDescent="0.2">
      <c r="A47" s="1">
        <v>46</v>
      </c>
      <c r="B47" s="2">
        <v>45839</v>
      </c>
      <c r="C47" s="1" t="s">
        <v>261</v>
      </c>
      <c r="D47" s="1" t="s">
        <v>24</v>
      </c>
      <c r="E47" s="3">
        <v>0.5083333333333333</v>
      </c>
      <c r="F47" s="1">
        <v>41.8</v>
      </c>
      <c r="G47" s="6" t="s">
        <v>262</v>
      </c>
      <c r="H47" s="1" t="s">
        <v>263</v>
      </c>
      <c r="I47" s="1" t="s">
        <v>27</v>
      </c>
      <c r="J47" s="1" t="s">
        <v>257</v>
      </c>
      <c r="K47" s="1" t="s">
        <v>27</v>
      </c>
      <c r="L47" s="1">
        <v>83.6</v>
      </c>
      <c r="M47" s="1" t="s">
        <v>30</v>
      </c>
      <c r="N47" s="1" t="s">
        <v>30</v>
      </c>
      <c r="O47" s="1">
        <v>1640</v>
      </c>
      <c r="P47" s="1">
        <v>60</v>
      </c>
      <c r="Q47" s="1"/>
      <c r="R47" s="1" t="s">
        <v>264</v>
      </c>
      <c r="S47" s="1">
        <v>125.1</v>
      </c>
      <c r="T47" s="1" t="s">
        <v>30</v>
      </c>
      <c r="U47" s="1">
        <v>42.1</v>
      </c>
      <c r="V47" s="3">
        <v>0.5180555555555556</v>
      </c>
      <c r="W47" s="1" t="s">
        <v>265</v>
      </c>
      <c r="X47" s="1"/>
    </row>
    <row r="48" spans="1:24" x14ac:dyDescent="0.2">
      <c r="A48" s="1">
        <v>47</v>
      </c>
      <c r="B48" s="2">
        <v>45839</v>
      </c>
      <c r="C48" s="1" t="s">
        <v>261</v>
      </c>
      <c r="D48" s="1" t="s">
        <v>24</v>
      </c>
      <c r="E48" s="3">
        <v>0.5083333333333333</v>
      </c>
      <c r="F48" s="1">
        <v>42.9</v>
      </c>
      <c r="G48" s="1" t="s">
        <v>266</v>
      </c>
      <c r="H48" s="1" t="s">
        <v>267</v>
      </c>
      <c r="I48" s="1" t="s">
        <v>27</v>
      </c>
      <c r="J48" s="1" t="s">
        <v>268</v>
      </c>
      <c r="K48" s="1" t="s">
        <v>27</v>
      </c>
      <c r="L48" s="1">
        <v>77.7</v>
      </c>
      <c r="M48" s="1" t="s">
        <v>30</v>
      </c>
      <c r="N48" s="1" t="s">
        <v>30</v>
      </c>
      <c r="O48" s="1">
        <v>1120</v>
      </c>
      <c r="P48" s="1">
        <v>60</v>
      </c>
      <c r="Q48" s="1"/>
      <c r="R48" s="1" t="s">
        <v>269</v>
      </c>
      <c r="S48" s="1">
        <v>115.2</v>
      </c>
      <c r="T48" s="1" t="s">
        <v>30</v>
      </c>
      <c r="U48" s="1" t="s">
        <v>30</v>
      </c>
      <c r="V48" s="3">
        <v>0.5229166666666667</v>
      </c>
      <c r="W48" s="1" t="s">
        <v>270</v>
      </c>
      <c r="X48" s="1"/>
    </row>
    <row r="49" spans="1:24" x14ac:dyDescent="0.2">
      <c r="A49" s="1">
        <v>48</v>
      </c>
      <c r="B49" s="2">
        <v>45856</v>
      </c>
      <c r="C49" s="15" t="s">
        <v>376</v>
      </c>
      <c r="D49" s="1" t="s">
        <v>24</v>
      </c>
      <c r="E49" s="3">
        <v>0.73611111111111116</v>
      </c>
      <c r="F49" s="1">
        <f>AVERAGE(42.4,42.4)</f>
        <v>42.4</v>
      </c>
      <c r="G49" s="15" t="s">
        <v>302</v>
      </c>
      <c r="H49" s="15" t="s">
        <v>320</v>
      </c>
      <c r="I49" s="15" t="s">
        <v>27</v>
      </c>
      <c r="J49" s="15" t="s">
        <v>338</v>
      </c>
      <c r="K49" s="15" t="s">
        <v>27</v>
      </c>
      <c r="L49" s="15">
        <v>85.6</v>
      </c>
      <c r="M49" s="15" t="s">
        <v>27</v>
      </c>
      <c r="N49" s="15" t="s">
        <v>27</v>
      </c>
      <c r="O49" s="15">
        <v>1690</v>
      </c>
      <c r="P49" s="15">
        <v>50</v>
      </c>
      <c r="Q49" s="1"/>
      <c r="R49" s="15" t="s">
        <v>356</v>
      </c>
      <c r="S49" s="15">
        <v>138.6</v>
      </c>
      <c r="T49" s="15">
        <v>57.9</v>
      </c>
      <c r="U49" s="1">
        <f>AVERAGE(41.5,42.2)</f>
        <v>41.85</v>
      </c>
      <c r="V49" s="3">
        <v>0.75555555555555554</v>
      </c>
      <c r="W49" s="15" t="s">
        <v>30</v>
      </c>
      <c r="X49" s="1"/>
    </row>
    <row r="50" spans="1:24" x14ac:dyDescent="0.2">
      <c r="A50" s="1">
        <v>49</v>
      </c>
      <c r="B50" s="2">
        <v>45856</v>
      </c>
      <c r="C50" s="15" t="s">
        <v>376</v>
      </c>
      <c r="D50" s="1" t="s">
        <v>24</v>
      </c>
      <c r="E50" s="3">
        <v>0.73611111111111116</v>
      </c>
      <c r="F50" s="1">
        <f>AVERAGE(43.2,43.4)</f>
        <v>43.3</v>
      </c>
      <c r="G50" s="15" t="s">
        <v>303</v>
      </c>
      <c r="H50" s="15" t="s">
        <v>321</v>
      </c>
      <c r="I50" s="15" t="s">
        <v>27</v>
      </c>
      <c r="J50" s="15" t="s">
        <v>339</v>
      </c>
      <c r="K50" s="15" t="s">
        <v>27</v>
      </c>
      <c r="L50" s="15">
        <v>77.900000000000006</v>
      </c>
      <c r="M50" s="15" t="s">
        <v>27</v>
      </c>
      <c r="N50" s="15" t="s">
        <v>27</v>
      </c>
      <c r="O50" s="15">
        <v>1140</v>
      </c>
      <c r="P50" s="15">
        <v>50</v>
      </c>
      <c r="Q50" s="1"/>
      <c r="R50" s="15" t="s">
        <v>357</v>
      </c>
      <c r="S50" s="15">
        <v>128.5</v>
      </c>
      <c r="T50" s="15">
        <v>51.7</v>
      </c>
      <c r="U50" s="1">
        <f>AVERAGE(41.7,42.2)</f>
        <v>41.95</v>
      </c>
      <c r="V50" s="3">
        <v>0.75555555555555554</v>
      </c>
      <c r="W50" s="15" t="s">
        <v>30</v>
      </c>
      <c r="X50" s="1"/>
    </row>
    <row r="51" spans="1:24" x14ac:dyDescent="0.2">
      <c r="A51" s="1">
        <v>50</v>
      </c>
      <c r="B51" s="2">
        <v>45856</v>
      </c>
      <c r="C51" s="15" t="s">
        <v>377</v>
      </c>
      <c r="D51" s="1" t="s">
        <v>24</v>
      </c>
      <c r="E51" s="3">
        <v>0.81527777777777777</v>
      </c>
      <c r="F51" s="1">
        <f>AVERAGE(29.8,27.6)</f>
        <v>28.700000000000003</v>
      </c>
      <c r="G51" s="15" t="s">
        <v>304</v>
      </c>
      <c r="H51" s="15" t="s">
        <v>322</v>
      </c>
      <c r="I51" s="15" t="s">
        <v>27</v>
      </c>
      <c r="J51" s="15" t="s">
        <v>340</v>
      </c>
      <c r="K51" s="15" t="s">
        <v>27</v>
      </c>
      <c r="L51" s="15">
        <v>76.3</v>
      </c>
      <c r="M51" s="15" t="s">
        <v>27</v>
      </c>
      <c r="N51" s="15" t="s">
        <v>27</v>
      </c>
      <c r="O51" s="15">
        <v>1580</v>
      </c>
      <c r="P51" s="15">
        <v>80</v>
      </c>
      <c r="Q51" s="1"/>
      <c r="R51" s="15" t="s">
        <v>358</v>
      </c>
      <c r="S51" s="15">
        <v>130</v>
      </c>
      <c r="T51" s="15">
        <v>49.8</v>
      </c>
      <c r="U51" s="1">
        <f>AVERAGE(42,42)</f>
        <v>42</v>
      </c>
      <c r="V51" s="3">
        <v>0.83125000000000004</v>
      </c>
      <c r="W51" s="15" t="s">
        <v>30</v>
      </c>
      <c r="X51" s="1"/>
    </row>
    <row r="52" spans="1:24" x14ac:dyDescent="0.2">
      <c r="A52" s="1">
        <v>51</v>
      </c>
      <c r="B52" s="2">
        <v>45856</v>
      </c>
      <c r="C52" s="15" t="s">
        <v>377</v>
      </c>
      <c r="D52" s="1" t="s">
        <v>24</v>
      </c>
      <c r="E52" s="3">
        <v>0.81527777777777777</v>
      </c>
      <c r="F52" s="1">
        <f>AVERAGE(27.1,27.1)</f>
        <v>27.1</v>
      </c>
      <c r="G52" s="15" t="s">
        <v>305</v>
      </c>
      <c r="H52" s="15" t="s">
        <v>323</v>
      </c>
      <c r="I52" s="15" t="s">
        <v>27</v>
      </c>
      <c r="J52" s="15" t="s">
        <v>341</v>
      </c>
      <c r="K52" s="15" t="s">
        <v>27</v>
      </c>
      <c r="L52" s="15">
        <v>82.2</v>
      </c>
      <c r="M52" s="15" t="s">
        <v>27</v>
      </c>
      <c r="N52" s="15" t="s">
        <v>27</v>
      </c>
      <c r="O52" s="15">
        <v>1860</v>
      </c>
      <c r="P52" s="15">
        <v>80</v>
      </c>
      <c r="Q52" s="1"/>
      <c r="R52" s="15" t="s">
        <v>359</v>
      </c>
      <c r="S52" s="15">
        <v>147.5</v>
      </c>
      <c r="T52" s="15">
        <v>54.3</v>
      </c>
      <c r="U52" s="1">
        <f>AVERAGE(41.1,42.1)</f>
        <v>41.6</v>
      </c>
      <c r="V52" s="3">
        <v>0.83125000000000004</v>
      </c>
      <c r="W52" s="15" t="s">
        <v>30</v>
      </c>
      <c r="X52" s="1"/>
    </row>
    <row r="53" spans="1:24" x14ac:dyDescent="0.2">
      <c r="A53" s="1">
        <v>52</v>
      </c>
      <c r="B53" s="2">
        <v>45856</v>
      </c>
      <c r="C53" s="15" t="s">
        <v>379</v>
      </c>
      <c r="D53" s="1" t="s">
        <v>24</v>
      </c>
      <c r="E53" s="3">
        <v>0.83819444444444446</v>
      </c>
      <c r="F53" s="1">
        <f>AVERAGE(40.3,37.5)</f>
        <v>38.9</v>
      </c>
      <c r="G53" s="15" t="s">
        <v>306</v>
      </c>
      <c r="H53" s="15" t="s">
        <v>324</v>
      </c>
      <c r="I53" s="15" t="s">
        <v>27</v>
      </c>
      <c r="J53" s="15" t="s">
        <v>342</v>
      </c>
      <c r="K53" s="15" t="s">
        <v>27</v>
      </c>
      <c r="L53" s="15">
        <v>87.4</v>
      </c>
      <c r="M53" s="15" t="s">
        <v>27</v>
      </c>
      <c r="N53" s="15" t="s">
        <v>27</v>
      </c>
      <c r="O53" s="15">
        <v>1620</v>
      </c>
      <c r="P53" s="15">
        <v>80</v>
      </c>
      <c r="Q53" s="1"/>
      <c r="R53" s="15" t="s">
        <v>360</v>
      </c>
      <c r="S53" s="15">
        <v>131.1</v>
      </c>
      <c r="T53" s="15">
        <v>51.5</v>
      </c>
      <c r="U53" s="1">
        <f>AVERAGE(41.8,42.2)</f>
        <v>42</v>
      </c>
      <c r="V53" s="3">
        <v>0.84930555555555554</v>
      </c>
      <c r="W53" s="15" t="s">
        <v>30</v>
      </c>
      <c r="X53" s="1"/>
    </row>
    <row r="54" spans="1:24" x14ac:dyDescent="0.2">
      <c r="A54" s="1">
        <v>53</v>
      </c>
      <c r="B54" s="2">
        <v>45856</v>
      </c>
      <c r="C54" s="15" t="s">
        <v>380</v>
      </c>
      <c r="D54" s="1" t="s">
        <v>24</v>
      </c>
      <c r="E54" s="3">
        <v>0.85069444444444442</v>
      </c>
      <c r="F54" s="1">
        <f>AVERAGE(31.8,29.9)</f>
        <v>30.85</v>
      </c>
      <c r="G54" s="15" t="s">
        <v>307</v>
      </c>
      <c r="H54" s="15" t="s">
        <v>325</v>
      </c>
      <c r="I54" s="15" t="s">
        <v>27</v>
      </c>
      <c r="J54" s="15" t="s">
        <v>343</v>
      </c>
      <c r="K54" s="15" t="s">
        <v>27</v>
      </c>
      <c r="L54" s="15">
        <v>75.8</v>
      </c>
      <c r="M54" s="15" t="s">
        <v>27</v>
      </c>
      <c r="N54" s="15" t="s">
        <v>27</v>
      </c>
      <c r="O54" s="15">
        <v>1750</v>
      </c>
      <c r="P54" s="15">
        <v>80</v>
      </c>
      <c r="Q54" s="1"/>
      <c r="R54" s="15" t="s">
        <v>361</v>
      </c>
      <c r="S54" s="15">
        <v>142.30000000000001</v>
      </c>
      <c r="T54" s="15">
        <v>57.5</v>
      </c>
      <c r="U54" s="1">
        <f>AVERAGE(42.6,41.3)</f>
        <v>41.95</v>
      </c>
      <c r="V54" s="3">
        <v>0.86805555555555558</v>
      </c>
      <c r="W54" s="15" t="s">
        <v>30</v>
      </c>
      <c r="X54" s="1"/>
    </row>
    <row r="55" spans="1:24" x14ac:dyDescent="0.2">
      <c r="A55" s="1">
        <v>54</v>
      </c>
      <c r="B55" s="2">
        <v>45857</v>
      </c>
      <c r="C55" s="15" t="s">
        <v>381</v>
      </c>
      <c r="D55" s="1" t="s">
        <v>24</v>
      </c>
      <c r="E55" s="3">
        <v>0.2590277777777778</v>
      </c>
      <c r="F55" s="1">
        <f>AVERAGE(18.3,18.6)</f>
        <v>18.450000000000003</v>
      </c>
      <c r="G55" s="15" t="s">
        <v>308</v>
      </c>
      <c r="H55" s="15" t="s">
        <v>326</v>
      </c>
      <c r="I55" s="15" t="s">
        <v>27</v>
      </c>
      <c r="J55" s="15" t="s">
        <v>344</v>
      </c>
      <c r="K55" s="15" t="s">
        <v>27</v>
      </c>
      <c r="L55" s="15">
        <v>77.099999999999994</v>
      </c>
      <c r="M55" s="15" t="s">
        <v>27</v>
      </c>
      <c r="N55" s="15" t="s">
        <v>27</v>
      </c>
      <c r="O55" s="15">
        <v>1885</v>
      </c>
      <c r="P55" s="15">
        <v>60</v>
      </c>
      <c r="Q55" s="1"/>
      <c r="R55" s="15" t="s">
        <v>362</v>
      </c>
      <c r="S55" s="15">
        <v>139.9</v>
      </c>
      <c r="T55" s="15">
        <v>59.5</v>
      </c>
      <c r="U55" s="1">
        <f>AVERAGE(42.5,42.4)</f>
        <v>42.45</v>
      </c>
      <c r="V55" s="3">
        <v>0.27847222222222223</v>
      </c>
      <c r="W55" s="15" t="s">
        <v>30</v>
      </c>
      <c r="X55" s="1"/>
    </row>
    <row r="56" spans="1:24" x14ac:dyDescent="0.2">
      <c r="A56" s="1">
        <v>55</v>
      </c>
      <c r="B56" s="2">
        <v>45857</v>
      </c>
      <c r="C56" s="15" t="s">
        <v>381</v>
      </c>
      <c r="D56" s="1" t="s">
        <v>24</v>
      </c>
      <c r="E56" s="3">
        <v>0.2590277777777778</v>
      </c>
      <c r="F56" s="1">
        <f>AVERAGE(19.1,19.1)</f>
        <v>19.100000000000001</v>
      </c>
      <c r="G56" s="15" t="s">
        <v>309</v>
      </c>
      <c r="H56" s="15" t="s">
        <v>327</v>
      </c>
      <c r="I56" s="15" t="s">
        <v>27</v>
      </c>
      <c r="J56" s="15" t="s">
        <v>345</v>
      </c>
      <c r="K56" s="15" t="s">
        <v>27</v>
      </c>
      <c r="L56" s="15">
        <v>74.599999999999994</v>
      </c>
      <c r="M56" s="15" t="s">
        <v>27</v>
      </c>
      <c r="N56" s="15" t="s">
        <v>27</v>
      </c>
      <c r="O56" s="15">
        <v>1570</v>
      </c>
      <c r="P56" s="15">
        <v>60</v>
      </c>
      <c r="Q56" s="1"/>
      <c r="R56" s="15" t="s">
        <v>363</v>
      </c>
      <c r="S56" s="15">
        <v>127.8</v>
      </c>
      <c r="T56" s="15">
        <v>51.5</v>
      </c>
      <c r="U56" s="1">
        <f>AVERAGE(37.6,37.9)</f>
        <v>37.75</v>
      </c>
      <c r="V56" s="3">
        <v>0.27638888888888891</v>
      </c>
      <c r="W56" s="15" t="s">
        <v>30</v>
      </c>
      <c r="X56" s="1"/>
    </row>
    <row r="57" spans="1:24" x14ac:dyDescent="0.2">
      <c r="A57" s="1">
        <v>56</v>
      </c>
      <c r="B57" s="2">
        <v>45857</v>
      </c>
      <c r="C57" s="15" t="s">
        <v>381</v>
      </c>
      <c r="D57" s="1" t="s">
        <v>24</v>
      </c>
      <c r="E57" s="3">
        <v>0.2590277777777778</v>
      </c>
      <c r="F57" s="1">
        <f>AVERAGE(18.9,23.3)</f>
        <v>21.1</v>
      </c>
      <c r="G57" s="15" t="s">
        <v>310</v>
      </c>
      <c r="H57" s="15" t="s">
        <v>328</v>
      </c>
      <c r="I57" s="15" t="s">
        <v>27</v>
      </c>
      <c r="J57" s="15" t="s">
        <v>346</v>
      </c>
      <c r="K57" s="15" t="s">
        <v>27</v>
      </c>
      <c r="L57" s="15">
        <v>73.5</v>
      </c>
      <c r="M57" s="15" t="s">
        <v>27</v>
      </c>
      <c r="N57" s="15" t="s">
        <v>27</v>
      </c>
      <c r="O57" s="15">
        <v>1580</v>
      </c>
      <c r="P57" s="15">
        <v>60</v>
      </c>
      <c r="Q57" s="1"/>
      <c r="R57" s="15" t="s">
        <v>364</v>
      </c>
      <c r="S57" s="15">
        <v>129.9</v>
      </c>
      <c r="T57" s="15">
        <v>51.2</v>
      </c>
      <c r="U57" s="1">
        <f>AVERAGE(36.9,37.5)</f>
        <v>37.200000000000003</v>
      </c>
      <c r="V57" s="3">
        <v>0.27500000000000002</v>
      </c>
      <c r="W57" s="15" t="s">
        <v>30</v>
      </c>
      <c r="X57" s="1"/>
    </row>
    <row r="58" spans="1:24" x14ac:dyDescent="0.2">
      <c r="A58" s="1">
        <v>57</v>
      </c>
      <c r="B58" s="2">
        <v>45857</v>
      </c>
      <c r="C58" s="15" t="s">
        <v>382</v>
      </c>
      <c r="D58" s="1" t="s">
        <v>24</v>
      </c>
      <c r="E58" s="3">
        <v>0.30069444444444443</v>
      </c>
      <c r="F58" s="1">
        <f>AVERAGE(32.8,31.8)</f>
        <v>32.299999999999997</v>
      </c>
      <c r="G58" s="15" t="s">
        <v>311</v>
      </c>
      <c r="H58" s="15" t="s">
        <v>329</v>
      </c>
      <c r="I58" s="15" t="s">
        <v>27</v>
      </c>
      <c r="J58" s="15" t="s">
        <v>347</v>
      </c>
      <c r="K58" s="15" t="s">
        <v>27</v>
      </c>
      <c r="L58" s="15">
        <v>87.1</v>
      </c>
      <c r="M58" s="15" t="s">
        <v>27</v>
      </c>
      <c r="N58" s="15" t="s">
        <v>27</v>
      </c>
      <c r="O58" s="15">
        <v>1900</v>
      </c>
      <c r="P58" s="15">
        <v>60</v>
      </c>
      <c r="Q58" s="1"/>
      <c r="R58" s="15" t="s">
        <v>365</v>
      </c>
      <c r="S58" s="15">
        <v>144.80000000000001</v>
      </c>
      <c r="T58" s="15">
        <v>55.1</v>
      </c>
      <c r="U58" s="1">
        <f>AVERAGE(38.5,38.8)</f>
        <v>38.65</v>
      </c>
      <c r="V58" s="3">
        <v>0.31736111111111109</v>
      </c>
      <c r="W58" s="1" t="s">
        <v>373</v>
      </c>
      <c r="X58" s="1"/>
    </row>
    <row r="59" spans="1:24" x14ac:dyDescent="0.2">
      <c r="A59" s="1">
        <v>58</v>
      </c>
      <c r="B59" s="2">
        <v>45857</v>
      </c>
      <c r="C59" s="15" t="s">
        <v>382</v>
      </c>
      <c r="D59" s="1" t="s">
        <v>24</v>
      </c>
      <c r="E59" s="3">
        <v>0.30069444444444443</v>
      </c>
      <c r="F59" s="1">
        <f>AVERAGE(30.9,30.5)</f>
        <v>30.7</v>
      </c>
      <c r="G59" s="15" t="s">
        <v>312</v>
      </c>
      <c r="H59" s="15" t="s">
        <v>330</v>
      </c>
      <c r="I59" s="15" t="s">
        <v>27</v>
      </c>
      <c r="J59" s="6" t="s">
        <v>348</v>
      </c>
      <c r="K59" s="15" t="s">
        <v>27</v>
      </c>
      <c r="L59" s="15">
        <v>81.2</v>
      </c>
      <c r="M59" s="15" t="s">
        <v>27</v>
      </c>
      <c r="N59" s="15" t="s">
        <v>27</v>
      </c>
      <c r="O59" s="15">
        <v>1520</v>
      </c>
      <c r="P59" s="15">
        <v>65</v>
      </c>
      <c r="Q59" s="1"/>
      <c r="R59" s="15" t="s">
        <v>366</v>
      </c>
      <c r="S59" s="15">
        <v>131.5</v>
      </c>
      <c r="T59" s="15">
        <v>50.6</v>
      </c>
      <c r="U59" s="1">
        <f>AVERAGE(35.7,36.2)</f>
        <v>35.950000000000003</v>
      </c>
      <c r="V59" s="3">
        <v>0.31527777777777777</v>
      </c>
      <c r="W59" s="1" t="s">
        <v>374</v>
      </c>
      <c r="X59" s="1"/>
    </row>
    <row r="60" spans="1:24" x14ac:dyDescent="0.2">
      <c r="A60" s="1">
        <v>59</v>
      </c>
      <c r="B60" s="2">
        <v>45857</v>
      </c>
      <c r="C60" s="15" t="s">
        <v>383</v>
      </c>
      <c r="D60" s="1" t="s">
        <v>24</v>
      </c>
      <c r="E60" s="3">
        <v>0.36666666666666664</v>
      </c>
      <c r="F60" s="1">
        <f>AVERAGE(33.3,30.6)</f>
        <v>31.95</v>
      </c>
      <c r="G60" s="15" t="s">
        <v>313</v>
      </c>
      <c r="H60" s="15" t="s">
        <v>331</v>
      </c>
      <c r="I60" s="15" t="s">
        <v>27</v>
      </c>
      <c r="J60" s="6" t="s">
        <v>350</v>
      </c>
      <c r="K60" s="15" t="s">
        <v>27</v>
      </c>
      <c r="L60" s="15">
        <v>78.7</v>
      </c>
      <c r="M60" s="15" t="s">
        <v>30</v>
      </c>
      <c r="N60" s="15" t="s">
        <v>27</v>
      </c>
      <c r="O60" s="15">
        <v>1780</v>
      </c>
      <c r="P60" s="15">
        <v>60</v>
      </c>
      <c r="Q60" s="1"/>
      <c r="R60" s="15" t="s">
        <v>367</v>
      </c>
      <c r="S60" s="15">
        <v>134.5</v>
      </c>
      <c r="T60" s="15">
        <v>57</v>
      </c>
      <c r="U60" s="1">
        <f>AVERAGE(40,40)</f>
        <v>40</v>
      </c>
      <c r="V60" s="3">
        <v>0.37916666666666665</v>
      </c>
      <c r="W60" s="15" t="s">
        <v>30</v>
      </c>
      <c r="X60" s="1"/>
    </row>
    <row r="61" spans="1:24" x14ac:dyDescent="0.2">
      <c r="A61" s="1">
        <v>60</v>
      </c>
      <c r="B61" s="2">
        <v>45857</v>
      </c>
      <c r="C61" s="15" t="s">
        <v>383</v>
      </c>
      <c r="D61" s="1" t="s">
        <v>24</v>
      </c>
      <c r="E61" s="3">
        <v>0.36666666666666664</v>
      </c>
      <c r="F61" s="1">
        <f>AVERAGE(33.1,34.2)</f>
        <v>33.650000000000006</v>
      </c>
      <c r="G61" s="15" t="s">
        <v>314</v>
      </c>
      <c r="H61" s="15" t="s">
        <v>332</v>
      </c>
      <c r="I61" s="15" t="s">
        <v>27</v>
      </c>
      <c r="J61" s="15" t="s">
        <v>349</v>
      </c>
      <c r="K61" s="15" t="s">
        <v>27</v>
      </c>
      <c r="L61" s="15">
        <v>73.8</v>
      </c>
      <c r="M61" s="15" t="s">
        <v>27</v>
      </c>
      <c r="N61" s="15" t="s">
        <v>27</v>
      </c>
      <c r="O61" s="15">
        <v>1510</v>
      </c>
      <c r="P61" s="15">
        <v>70</v>
      </c>
      <c r="Q61" s="1"/>
      <c r="R61" s="15" t="s">
        <v>359</v>
      </c>
      <c r="S61" s="15">
        <v>121.9</v>
      </c>
      <c r="T61" s="15">
        <v>52.5</v>
      </c>
      <c r="U61" s="1">
        <f>AVERAGE(42.2,42)</f>
        <v>42.1</v>
      </c>
      <c r="V61" s="3">
        <v>0.37916666666666665</v>
      </c>
      <c r="W61" s="1" t="s">
        <v>375</v>
      </c>
      <c r="X61" s="1"/>
    </row>
    <row r="62" spans="1:24" x14ac:dyDescent="0.2">
      <c r="A62" s="1">
        <v>61</v>
      </c>
      <c r="B62" s="2">
        <v>45857</v>
      </c>
      <c r="C62" s="15" t="s">
        <v>384</v>
      </c>
      <c r="D62" s="1" t="s">
        <v>24</v>
      </c>
      <c r="E62" s="3">
        <v>0.38750000000000001</v>
      </c>
      <c r="F62" s="1">
        <f>AVERAGE(40.1,41)</f>
        <v>40.549999999999997</v>
      </c>
      <c r="G62" s="15" t="s">
        <v>315</v>
      </c>
      <c r="H62" s="15" t="s">
        <v>333</v>
      </c>
      <c r="I62" s="15" t="s">
        <v>27</v>
      </c>
      <c r="J62" s="15" t="s">
        <v>351</v>
      </c>
      <c r="K62" s="15" t="s">
        <v>27</v>
      </c>
      <c r="L62" s="15">
        <v>87.1</v>
      </c>
      <c r="M62" s="15" t="s">
        <v>27</v>
      </c>
      <c r="N62" s="15" t="s">
        <v>27</v>
      </c>
      <c r="O62" s="15">
        <v>1780</v>
      </c>
      <c r="P62" s="15">
        <v>60</v>
      </c>
      <c r="Q62" s="1"/>
      <c r="R62" s="15" t="s">
        <v>368</v>
      </c>
      <c r="S62" s="15">
        <v>142.6</v>
      </c>
      <c r="T62" s="15">
        <v>58.2</v>
      </c>
      <c r="U62" s="1">
        <f>AVERAGE(43,42.6)</f>
        <v>42.8</v>
      </c>
      <c r="V62" s="3">
        <v>0.4</v>
      </c>
      <c r="W62" s="15" t="s">
        <v>30</v>
      </c>
      <c r="X62" s="1"/>
    </row>
    <row r="63" spans="1:24" x14ac:dyDescent="0.2">
      <c r="A63" s="1">
        <v>62</v>
      </c>
      <c r="B63" s="2">
        <v>45857</v>
      </c>
      <c r="C63" s="15" t="s">
        <v>385</v>
      </c>
      <c r="D63" s="1" t="s">
        <v>24</v>
      </c>
      <c r="E63" s="3">
        <v>0.39444444444444443</v>
      </c>
      <c r="F63" s="1">
        <f>AVERAGE(43.1,43.4)</f>
        <v>43.25</v>
      </c>
      <c r="G63" s="15" t="s">
        <v>316</v>
      </c>
      <c r="H63" s="15" t="s">
        <v>334</v>
      </c>
      <c r="I63" s="15" t="s">
        <v>27</v>
      </c>
      <c r="J63" s="15" t="s">
        <v>352</v>
      </c>
      <c r="K63" s="15" t="s">
        <v>27</v>
      </c>
      <c r="L63" s="15">
        <v>79.099999999999994</v>
      </c>
      <c r="M63" s="15" t="s">
        <v>30</v>
      </c>
      <c r="N63" s="15" t="s">
        <v>30</v>
      </c>
      <c r="O63" s="15">
        <v>1600</v>
      </c>
      <c r="P63" s="15">
        <v>60</v>
      </c>
      <c r="Q63" s="1"/>
      <c r="R63" s="15" t="s">
        <v>369</v>
      </c>
      <c r="S63" s="15">
        <v>138.4</v>
      </c>
      <c r="T63" s="15">
        <v>41.2</v>
      </c>
      <c r="U63" s="1">
        <f>AVERAGE(43.9,44.1)</f>
        <v>44</v>
      </c>
      <c r="V63" s="3">
        <v>0.40277777777777779</v>
      </c>
      <c r="W63" s="15" t="s">
        <v>30</v>
      </c>
      <c r="X63" s="1"/>
    </row>
    <row r="64" spans="1:24" x14ac:dyDescent="0.2">
      <c r="A64" s="1">
        <v>63</v>
      </c>
      <c r="B64" s="2">
        <v>45857</v>
      </c>
      <c r="C64" s="15" t="s">
        <v>386</v>
      </c>
      <c r="D64" s="1" t="s">
        <v>24</v>
      </c>
      <c r="E64" s="3">
        <v>0.40625</v>
      </c>
      <c r="F64" s="1">
        <f>AVERAGE(43.8,43.8)</f>
        <v>43.8</v>
      </c>
      <c r="G64" s="15" t="s">
        <v>317</v>
      </c>
      <c r="H64" s="15" t="s">
        <v>335</v>
      </c>
      <c r="I64" s="15" t="s">
        <v>27</v>
      </c>
      <c r="J64" s="15" t="s">
        <v>353</v>
      </c>
      <c r="K64" s="15" t="s">
        <v>27</v>
      </c>
      <c r="L64" s="15">
        <v>81.7</v>
      </c>
      <c r="M64" s="15" t="s">
        <v>30</v>
      </c>
      <c r="N64" s="15" t="s">
        <v>30</v>
      </c>
      <c r="O64" s="15">
        <v>1750</v>
      </c>
      <c r="P64" s="15">
        <v>70</v>
      </c>
      <c r="Q64" s="1"/>
      <c r="R64" s="15" t="s">
        <v>370</v>
      </c>
      <c r="S64" s="15">
        <v>141.6</v>
      </c>
      <c r="T64" s="15">
        <v>60</v>
      </c>
      <c r="U64" s="1">
        <f>AVERAGE(43.3,42.4)</f>
        <v>42.849999999999994</v>
      </c>
      <c r="V64" s="3">
        <v>0.41736111111111113</v>
      </c>
      <c r="W64" s="15" t="s">
        <v>30</v>
      </c>
      <c r="X64" s="1"/>
    </row>
    <row r="65" spans="1:24" x14ac:dyDescent="0.2">
      <c r="A65" s="1">
        <v>64</v>
      </c>
      <c r="B65" s="2">
        <v>45857</v>
      </c>
      <c r="C65" s="15" t="s">
        <v>386</v>
      </c>
      <c r="D65" s="1" t="s">
        <v>24</v>
      </c>
      <c r="E65" s="3">
        <v>0.40625</v>
      </c>
      <c r="F65" s="1">
        <f>AVERAGE(43.2,42.8)</f>
        <v>43</v>
      </c>
      <c r="G65" s="15" t="s">
        <v>318</v>
      </c>
      <c r="H65" s="15" t="s">
        <v>336</v>
      </c>
      <c r="I65" s="15" t="s">
        <v>27</v>
      </c>
      <c r="J65" s="15" t="s">
        <v>354</v>
      </c>
      <c r="K65" s="15" t="s">
        <v>27</v>
      </c>
      <c r="L65" s="15">
        <v>83.5</v>
      </c>
      <c r="M65" s="15" t="s">
        <v>30</v>
      </c>
      <c r="N65" s="15" t="s">
        <v>30</v>
      </c>
      <c r="O65" s="15">
        <v>1900</v>
      </c>
      <c r="P65" s="15">
        <v>70</v>
      </c>
      <c r="Q65" s="1"/>
      <c r="R65" s="15" t="s">
        <v>371</v>
      </c>
      <c r="S65" s="15">
        <v>143.4</v>
      </c>
      <c r="T65" s="15">
        <v>60.8</v>
      </c>
      <c r="U65" s="1">
        <f>AVERAGE(43,42.9)</f>
        <v>42.95</v>
      </c>
      <c r="V65" s="3">
        <v>0.41666666666666669</v>
      </c>
      <c r="W65" s="15" t="s">
        <v>30</v>
      </c>
      <c r="X65" s="1"/>
    </row>
    <row r="66" spans="1:24" x14ac:dyDescent="0.2">
      <c r="A66" s="1">
        <v>65</v>
      </c>
      <c r="B66" s="2">
        <v>45857</v>
      </c>
      <c r="C66" s="15" t="s">
        <v>387</v>
      </c>
      <c r="D66" s="1" t="s">
        <v>24</v>
      </c>
      <c r="E66" s="3">
        <v>0.4236111111111111</v>
      </c>
      <c r="F66" s="1">
        <f>AVERAGE(38.4,38.5)</f>
        <v>38.450000000000003</v>
      </c>
      <c r="G66" s="15" t="s">
        <v>319</v>
      </c>
      <c r="H66" s="15" t="s">
        <v>337</v>
      </c>
      <c r="I66" s="15" t="s">
        <v>27</v>
      </c>
      <c r="J66" s="15" t="s">
        <v>355</v>
      </c>
      <c r="K66" s="15" t="s">
        <v>27</v>
      </c>
      <c r="L66" s="15">
        <v>73</v>
      </c>
      <c r="M66" s="15" t="s">
        <v>30</v>
      </c>
      <c r="N66" s="15" t="s">
        <v>30</v>
      </c>
      <c r="O66" s="15">
        <v>1510</v>
      </c>
      <c r="P66" s="15">
        <v>70</v>
      </c>
      <c r="Q66" s="1"/>
      <c r="R66" s="15" t="s">
        <v>372</v>
      </c>
      <c r="S66" s="15">
        <v>131.80000000000001</v>
      </c>
      <c r="T66" s="15">
        <v>55</v>
      </c>
      <c r="U66" s="1">
        <f>AVERAGE(41.6,41.4)</f>
        <v>41.5</v>
      </c>
      <c r="V66" s="3">
        <v>0.43125000000000002</v>
      </c>
      <c r="W66" s="15" t="s">
        <v>30</v>
      </c>
      <c r="X66" s="1"/>
    </row>
    <row r="67" spans="1:24" x14ac:dyDescent="0.2">
      <c r="A67" s="1">
        <v>66</v>
      </c>
      <c r="B67" s="2">
        <v>45857</v>
      </c>
      <c r="C67" s="13" t="s">
        <v>391</v>
      </c>
      <c r="D67" s="13" t="s">
        <v>24</v>
      </c>
      <c r="E67" s="12">
        <v>0.45277777777777778</v>
      </c>
      <c r="F67">
        <f>AVERAGE(34.6,34.3)</f>
        <v>34.450000000000003</v>
      </c>
      <c r="G67" s="13" t="s">
        <v>398</v>
      </c>
      <c r="H67" s="13" t="s">
        <v>415</v>
      </c>
      <c r="I67" s="13" t="s">
        <v>27</v>
      </c>
      <c r="J67" s="13" t="s">
        <v>432</v>
      </c>
      <c r="K67" s="15" t="s">
        <v>27</v>
      </c>
      <c r="L67" s="13">
        <v>78.099999999999994</v>
      </c>
      <c r="M67" s="15" t="s">
        <v>30</v>
      </c>
      <c r="N67" s="15" t="s">
        <v>30</v>
      </c>
      <c r="O67" s="13">
        <v>1640</v>
      </c>
      <c r="P67" s="13">
        <v>70</v>
      </c>
      <c r="R67" s="13" t="s">
        <v>449</v>
      </c>
      <c r="S67" s="13">
        <v>135.30000000000001</v>
      </c>
      <c r="T67" s="13">
        <v>54.3</v>
      </c>
      <c r="U67">
        <f>AVERAGE(44.7,44.2)</f>
        <v>44.45</v>
      </c>
      <c r="V67" s="12">
        <v>0.46388888888888891</v>
      </c>
      <c r="W67" s="15" t="s">
        <v>30</v>
      </c>
      <c r="X67" t="s">
        <v>471</v>
      </c>
    </row>
    <row r="68" spans="1:24" x14ac:dyDescent="0.2">
      <c r="A68" s="1">
        <v>67</v>
      </c>
      <c r="B68" s="2">
        <v>45857</v>
      </c>
      <c r="C68" s="13" t="s">
        <v>391</v>
      </c>
      <c r="D68" s="13" t="s">
        <v>24</v>
      </c>
      <c r="E68" s="12">
        <v>0.46597222222222223</v>
      </c>
      <c r="F68">
        <f>AVERAGE(38.2,39)</f>
        <v>38.6</v>
      </c>
      <c r="G68" s="13" t="s">
        <v>399</v>
      </c>
      <c r="H68" s="13" t="s">
        <v>416</v>
      </c>
      <c r="I68" s="13" t="s">
        <v>27</v>
      </c>
      <c r="J68" s="13" t="s">
        <v>433</v>
      </c>
      <c r="K68" s="15" t="s">
        <v>27</v>
      </c>
      <c r="L68" s="13">
        <v>82.9</v>
      </c>
      <c r="M68" s="15" t="s">
        <v>30</v>
      </c>
      <c r="N68" s="15" t="s">
        <v>30</v>
      </c>
      <c r="O68" s="13">
        <v>1580</v>
      </c>
      <c r="P68" s="13">
        <v>60</v>
      </c>
      <c r="R68" s="13" t="s">
        <v>450</v>
      </c>
      <c r="S68" s="13">
        <v>139.80000000000001</v>
      </c>
      <c r="T68" s="13">
        <v>56.6</v>
      </c>
      <c r="U68">
        <f>AVERAGE(43.1,42.6)</f>
        <v>42.85</v>
      </c>
      <c r="V68" s="12">
        <v>0.4777777777777778</v>
      </c>
      <c r="W68" s="15" t="s">
        <v>30</v>
      </c>
      <c r="X68" t="s">
        <v>472</v>
      </c>
    </row>
    <row r="69" spans="1:24" x14ac:dyDescent="0.2">
      <c r="A69" s="1">
        <v>68</v>
      </c>
      <c r="B69" s="2">
        <v>45857</v>
      </c>
      <c r="C69" s="13" t="s">
        <v>30</v>
      </c>
      <c r="D69" s="13" t="s">
        <v>24</v>
      </c>
      <c r="E69" s="12">
        <v>0.49375000000000002</v>
      </c>
      <c r="F69">
        <f>AVERAGE(44.1,43.1)</f>
        <v>43.6</v>
      </c>
      <c r="G69" s="13" t="s">
        <v>400</v>
      </c>
      <c r="H69" s="13" t="s">
        <v>417</v>
      </c>
      <c r="I69" s="13" t="s">
        <v>27</v>
      </c>
      <c r="J69" s="13" t="s">
        <v>434</v>
      </c>
      <c r="K69" s="15" t="s">
        <v>27</v>
      </c>
      <c r="L69" s="13">
        <v>83.1</v>
      </c>
      <c r="M69" s="15" t="s">
        <v>30</v>
      </c>
      <c r="N69" s="15" t="s">
        <v>30</v>
      </c>
      <c r="O69" s="13">
        <v>2080</v>
      </c>
      <c r="P69" s="13">
        <v>60</v>
      </c>
      <c r="R69" s="13" t="s">
        <v>451</v>
      </c>
      <c r="S69" s="13">
        <v>146.69999999999999</v>
      </c>
      <c r="T69" s="13">
        <v>56.5</v>
      </c>
      <c r="U69">
        <f>AVERAGE(43.6,43.4)</f>
        <v>43.5</v>
      </c>
      <c r="V69" s="12">
        <v>0.50416666666666665</v>
      </c>
      <c r="W69" s="15" t="s">
        <v>30</v>
      </c>
      <c r="X69" t="s">
        <v>473</v>
      </c>
    </row>
    <row r="70" spans="1:24" x14ac:dyDescent="0.2">
      <c r="A70" s="1">
        <v>69</v>
      </c>
      <c r="B70" s="2">
        <v>45857</v>
      </c>
      <c r="C70" s="13" t="s">
        <v>30</v>
      </c>
      <c r="D70" s="13" t="s">
        <v>24</v>
      </c>
      <c r="E70" s="12">
        <v>0.49375000000000002</v>
      </c>
      <c r="F70">
        <f>AVERAGE(38.6,38.9)</f>
        <v>38.75</v>
      </c>
      <c r="G70" s="13" t="s">
        <v>401</v>
      </c>
      <c r="H70" s="13" t="s">
        <v>418</v>
      </c>
      <c r="I70" s="13" t="s">
        <v>27</v>
      </c>
      <c r="J70" s="13" t="s">
        <v>435</v>
      </c>
      <c r="K70" s="15" t="s">
        <v>27</v>
      </c>
      <c r="L70" s="13">
        <v>77.8</v>
      </c>
      <c r="M70" s="15" t="s">
        <v>30</v>
      </c>
      <c r="N70" s="15" t="s">
        <v>30</v>
      </c>
      <c r="O70" s="13">
        <v>1580</v>
      </c>
      <c r="P70" s="13">
        <v>60</v>
      </c>
      <c r="R70" s="13" t="s">
        <v>452</v>
      </c>
      <c r="S70" s="13">
        <v>131.80000000000001</v>
      </c>
      <c r="T70" s="13">
        <v>51.2</v>
      </c>
      <c r="U70">
        <f>AVERAGE(43.2,43.2)</f>
        <v>43.2</v>
      </c>
      <c r="V70" s="12">
        <v>0.50416666666666665</v>
      </c>
      <c r="W70" s="15" t="s">
        <v>30</v>
      </c>
      <c r="X70" t="s">
        <v>474</v>
      </c>
    </row>
    <row r="71" spans="1:24" x14ac:dyDescent="0.2">
      <c r="A71" s="1">
        <v>70</v>
      </c>
      <c r="B71" s="2">
        <v>45857</v>
      </c>
      <c r="C71" s="13" t="s">
        <v>392</v>
      </c>
      <c r="D71" s="13" t="s">
        <v>24</v>
      </c>
      <c r="E71" s="12">
        <v>0.57013888888888886</v>
      </c>
      <c r="F71">
        <f>AVERAGE(37.1,37.8)</f>
        <v>37.450000000000003</v>
      </c>
      <c r="G71" s="13" t="s">
        <v>402</v>
      </c>
      <c r="H71" s="13" t="s">
        <v>419</v>
      </c>
      <c r="I71" s="13" t="s">
        <v>27</v>
      </c>
      <c r="J71" s="13" t="s">
        <v>436</v>
      </c>
      <c r="K71" s="15" t="s">
        <v>27</v>
      </c>
      <c r="L71" s="13">
        <v>86.9</v>
      </c>
      <c r="M71" s="13" t="s">
        <v>27</v>
      </c>
      <c r="N71" s="13" t="s">
        <v>27</v>
      </c>
      <c r="O71" s="13">
        <v>1940</v>
      </c>
      <c r="P71" s="13">
        <v>60</v>
      </c>
      <c r="R71" s="13" t="s">
        <v>453</v>
      </c>
      <c r="S71" s="13">
        <v>146.69999999999999</v>
      </c>
      <c r="T71" s="13">
        <v>55.7</v>
      </c>
      <c r="U71">
        <f>AVERAGE(42.7,42)</f>
        <v>42.35</v>
      </c>
      <c r="V71" s="12">
        <v>0.58194444444444449</v>
      </c>
      <c r="W71" t="s">
        <v>466</v>
      </c>
      <c r="X71" t="s">
        <v>43</v>
      </c>
    </row>
    <row r="72" spans="1:24" x14ac:dyDescent="0.2">
      <c r="A72" s="1">
        <v>71</v>
      </c>
      <c r="B72" s="2">
        <v>45857</v>
      </c>
      <c r="C72" s="13" t="s">
        <v>393</v>
      </c>
      <c r="D72" s="13" t="s">
        <v>24</v>
      </c>
      <c r="E72" s="12">
        <v>0.59652777777777777</v>
      </c>
      <c r="F72">
        <f>AVERAGE(28.5,27.9)</f>
        <v>28.2</v>
      </c>
      <c r="G72" s="13" t="s">
        <v>403</v>
      </c>
      <c r="H72" s="13" t="s">
        <v>420</v>
      </c>
      <c r="I72" s="13" t="s">
        <v>27</v>
      </c>
      <c r="J72" s="13" t="s">
        <v>437</v>
      </c>
      <c r="K72" s="15" t="s">
        <v>27</v>
      </c>
      <c r="L72" s="13">
        <v>83.1</v>
      </c>
      <c r="M72" s="15" t="s">
        <v>30</v>
      </c>
      <c r="N72" s="15" t="s">
        <v>30</v>
      </c>
      <c r="O72" s="13">
        <v>1900</v>
      </c>
      <c r="P72" s="13">
        <v>60</v>
      </c>
      <c r="R72" s="13" t="s">
        <v>454</v>
      </c>
      <c r="S72" s="13">
        <v>131.19999999999999</v>
      </c>
      <c r="T72" s="13">
        <v>55.4</v>
      </c>
      <c r="U72">
        <f>AVERAGE(40.4,39.2)</f>
        <v>39.799999999999997</v>
      </c>
      <c r="V72" s="12">
        <v>0.60972222222222228</v>
      </c>
      <c r="W72" t="s">
        <v>467</v>
      </c>
      <c r="X72" t="s">
        <v>471</v>
      </c>
    </row>
    <row r="73" spans="1:24" x14ac:dyDescent="0.2">
      <c r="A73" s="1">
        <v>72</v>
      </c>
      <c r="B73" s="2">
        <v>45857</v>
      </c>
      <c r="C73" s="13" t="s">
        <v>393</v>
      </c>
      <c r="D73" s="13" t="s">
        <v>24</v>
      </c>
      <c r="E73" s="12">
        <v>0.59652777777777777</v>
      </c>
      <c r="F73">
        <f>AVERAGE(24.9,24.7)</f>
        <v>24.799999999999997</v>
      </c>
      <c r="G73" s="13" t="s">
        <v>404</v>
      </c>
      <c r="H73" s="13" t="s">
        <v>421</v>
      </c>
      <c r="I73" s="13" t="s">
        <v>27</v>
      </c>
      <c r="J73" s="13" t="s">
        <v>438</v>
      </c>
      <c r="K73" s="15" t="s">
        <v>27</v>
      </c>
      <c r="L73" s="13">
        <v>73.599999999999994</v>
      </c>
      <c r="M73" s="15" t="s">
        <v>30</v>
      </c>
      <c r="N73" s="15" t="s">
        <v>30</v>
      </c>
      <c r="O73" s="13">
        <v>1520</v>
      </c>
      <c r="P73" s="13">
        <v>60</v>
      </c>
      <c r="R73" s="13" t="s">
        <v>455</v>
      </c>
      <c r="S73" s="13">
        <v>127</v>
      </c>
      <c r="T73" s="13">
        <v>49.8</v>
      </c>
      <c r="U73">
        <f>AVERAGE(40.8,42.1)</f>
        <v>41.45</v>
      </c>
      <c r="V73" t="s">
        <v>30</v>
      </c>
      <c r="W73" t="s">
        <v>468</v>
      </c>
      <c r="X73" t="s">
        <v>472</v>
      </c>
    </row>
    <row r="74" spans="1:24" x14ac:dyDescent="0.2">
      <c r="A74" s="1">
        <v>73</v>
      </c>
      <c r="B74" s="2">
        <v>45857</v>
      </c>
      <c r="C74" s="13" t="s">
        <v>394</v>
      </c>
      <c r="D74" s="13" t="s">
        <v>24</v>
      </c>
      <c r="E74" s="12">
        <v>0.61597222222222225</v>
      </c>
      <c r="F74">
        <f>AVERAGE(28.8,28)</f>
        <v>28.4</v>
      </c>
      <c r="G74" s="13" t="s">
        <v>405</v>
      </c>
      <c r="H74" s="13" t="s">
        <v>422</v>
      </c>
      <c r="I74" s="13" t="s">
        <v>27</v>
      </c>
      <c r="J74" s="13" t="s">
        <v>439</v>
      </c>
      <c r="K74" s="15" t="s">
        <v>27</v>
      </c>
      <c r="L74" s="13">
        <v>83</v>
      </c>
      <c r="M74" s="15" t="s">
        <v>30</v>
      </c>
      <c r="N74" s="15" t="s">
        <v>30</v>
      </c>
      <c r="O74" s="13">
        <v>1530</v>
      </c>
      <c r="P74" s="13">
        <v>60</v>
      </c>
      <c r="R74" s="13" t="s">
        <v>456</v>
      </c>
      <c r="S74" s="13">
        <v>125.9</v>
      </c>
      <c r="T74" s="13">
        <v>49.9</v>
      </c>
      <c r="U74">
        <f>AVERAGE(36.1,37.2)</f>
        <v>36.650000000000006</v>
      </c>
      <c r="V74" s="12">
        <v>0.62916666666666665</v>
      </c>
      <c r="W74" s="15" t="s">
        <v>30</v>
      </c>
      <c r="X74" t="s">
        <v>475</v>
      </c>
    </row>
    <row r="75" spans="1:24" x14ac:dyDescent="0.2">
      <c r="A75" s="1">
        <v>74</v>
      </c>
      <c r="B75" s="2">
        <v>45857</v>
      </c>
      <c r="C75" s="13" t="s">
        <v>30</v>
      </c>
      <c r="D75" s="13" t="s">
        <v>24</v>
      </c>
      <c r="E75" s="12">
        <v>0.63541666666666663</v>
      </c>
      <c r="F75">
        <f>AVERAGE(37.7,39.6)</f>
        <v>38.650000000000006</v>
      </c>
      <c r="G75" s="13" t="s">
        <v>406</v>
      </c>
      <c r="H75" s="13" t="s">
        <v>423</v>
      </c>
      <c r="I75" s="13" t="s">
        <v>27</v>
      </c>
      <c r="J75" s="13" t="s">
        <v>440</v>
      </c>
      <c r="K75" s="15" t="s">
        <v>27</v>
      </c>
      <c r="L75" s="13">
        <v>67.099999999999994</v>
      </c>
      <c r="M75" s="15" t="s">
        <v>30</v>
      </c>
      <c r="N75" s="15" t="s">
        <v>30</v>
      </c>
      <c r="O75" s="13">
        <v>760</v>
      </c>
      <c r="P75" s="13">
        <v>60</v>
      </c>
      <c r="R75" s="13" t="s">
        <v>457</v>
      </c>
      <c r="S75" s="13">
        <v>95.4</v>
      </c>
      <c r="T75" s="13">
        <v>40</v>
      </c>
      <c r="U75">
        <f>AVERAGE(36.4,36.6)</f>
        <v>36.5</v>
      </c>
      <c r="V75" s="12">
        <v>0.64444444444444449</v>
      </c>
      <c r="W75" s="15" t="s">
        <v>30</v>
      </c>
      <c r="X75" t="s">
        <v>476</v>
      </c>
    </row>
    <row r="76" spans="1:24" x14ac:dyDescent="0.2">
      <c r="A76" s="1">
        <v>75</v>
      </c>
      <c r="B76" s="2">
        <v>45857</v>
      </c>
      <c r="C76" s="13" t="s">
        <v>30</v>
      </c>
      <c r="D76" s="13" t="s">
        <v>24</v>
      </c>
      <c r="E76" s="12">
        <v>0.63541666666666663</v>
      </c>
      <c r="F76">
        <f>AVERAGE(39.9,39.9)</f>
        <v>39.9</v>
      </c>
      <c r="G76" s="13" t="s">
        <v>407</v>
      </c>
      <c r="H76" s="13" t="s">
        <v>424</v>
      </c>
      <c r="I76" s="13" t="s">
        <v>27</v>
      </c>
      <c r="J76" s="13" t="s">
        <v>441</v>
      </c>
      <c r="K76" s="15" t="s">
        <v>27</v>
      </c>
      <c r="L76" s="13">
        <v>66.599999999999994</v>
      </c>
      <c r="M76" s="15" t="s">
        <v>30</v>
      </c>
      <c r="N76" s="15" t="s">
        <v>30</v>
      </c>
      <c r="O76" s="13">
        <v>860</v>
      </c>
      <c r="P76" s="13">
        <v>70</v>
      </c>
      <c r="R76" s="13" t="s">
        <v>458</v>
      </c>
      <c r="S76" s="13">
        <v>99.7</v>
      </c>
      <c r="T76" s="13">
        <v>37.1</v>
      </c>
      <c r="U76">
        <f>AVERAGE(41.1,41.1)</f>
        <v>41.1</v>
      </c>
      <c r="V76" s="12">
        <v>0.65555555555555556</v>
      </c>
      <c r="W76" s="15" t="s">
        <v>30</v>
      </c>
      <c r="X76" t="s">
        <v>477</v>
      </c>
    </row>
    <row r="77" spans="1:24" x14ac:dyDescent="0.2">
      <c r="A77" s="1">
        <v>76</v>
      </c>
      <c r="B77" s="2">
        <v>45857</v>
      </c>
      <c r="C77" s="13" t="s">
        <v>395</v>
      </c>
      <c r="D77" s="13" t="s">
        <v>24</v>
      </c>
      <c r="E77" s="12">
        <v>0.66597222222222219</v>
      </c>
      <c r="F77">
        <f>AVERAGE(36.1,36.7)</f>
        <v>36.400000000000006</v>
      </c>
      <c r="G77" s="13" t="s">
        <v>408</v>
      </c>
      <c r="H77" s="13" t="s">
        <v>425</v>
      </c>
      <c r="I77" s="13" t="s">
        <v>27</v>
      </c>
      <c r="J77" s="13" t="s">
        <v>442</v>
      </c>
      <c r="K77" s="15" t="s">
        <v>27</v>
      </c>
      <c r="L77" s="13">
        <v>83.4</v>
      </c>
      <c r="M77" s="15" t="s">
        <v>30</v>
      </c>
      <c r="N77" s="15" t="s">
        <v>30</v>
      </c>
      <c r="O77" s="13">
        <v>1920</v>
      </c>
      <c r="P77" s="13">
        <v>60</v>
      </c>
      <c r="R77" s="13" t="s">
        <v>459</v>
      </c>
      <c r="S77" s="13">
        <v>138.6</v>
      </c>
      <c r="T77" s="13">
        <v>59.1</v>
      </c>
      <c r="U77">
        <f>AVERAGE(41.7,41.9)</f>
        <v>41.8</v>
      </c>
      <c r="V77" s="12">
        <v>0.6743055555555556</v>
      </c>
      <c r="W77" t="s">
        <v>469</v>
      </c>
      <c r="X77" t="s">
        <v>30</v>
      </c>
    </row>
    <row r="78" spans="1:24" x14ac:dyDescent="0.2">
      <c r="A78" s="1">
        <v>77</v>
      </c>
      <c r="B78" s="2">
        <v>45857</v>
      </c>
      <c r="C78" s="13" t="s">
        <v>395</v>
      </c>
      <c r="D78" s="13" t="s">
        <v>24</v>
      </c>
      <c r="E78" s="12">
        <v>0.66597222222222219</v>
      </c>
      <c r="F78">
        <f>AVERAGE(40.3,40.1)</f>
        <v>40.200000000000003</v>
      </c>
      <c r="G78" s="13" t="s">
        <v>409</v>
      </c>
      <c r="H78" s="13" t="s">
        <v>426</v>
      </c>
      <c r="I78" s="13" t="s">
        <v>27</v>
      </c>
      <c r="J78" s="13" t="s">
        <v>443</v>
      </c>
      <c r="K78" s="15" t="s">
        <v>27</v>
      </c>
      <c r="L78" s="13">
        <v>76.099999999999994</v>
      </c>
      <c r="M78" s="15" t="s">
        <v>30</v>
      </c>
      <c r="N78" s="15" t="s">
        <v>30</v>
      </c>
      <c r="O78" s="13">
        <v>1520</v>
      </c>
      <c r="P78" s="13">
        <v>60</v>
      </c>
      <c r="R78" s="14" t="s">
        <v>460</v>
      </c>
      <c r="S78" s="13">
        <v>127.8</v>
      </c>
      <c r="T78" s="13">
        <v>53.3</v>
      </c>
      <c r="U78">
        <f>AVERAGE(40.6,41.7)</f>
        <v>41.150000000000006</v>
      </c>
      <c r="V78" s="12">
        <v>0.6743055555555556</v>
      </c>
      <c r="W78" s="15" t="s">
        <v>30</v>
      </c>
      <c r="X78" t="s">
        <v>30</v>
      </c>
    </row>
    <row r="79" spans="1:24" x14ac:dyDescent="0.2">
      <c r="A79" s="1">
        <v>78</v>
      </c>
      <c r="B79" s="2">
        <v>45857</v>
      </c>
      <c r="C79" s="13" t="s">
        <v>392</v>
      </c>
      <c r="D79" s="13" t="s">
        <v>24</v>
      </c>
      <c r="E79" s="12">
        <v>0.67152777777777772</v>
      </c>
      <c r="F79">
        <f>AVERAGE(30.7,30.3)</f>
        <v>30.5</v>
      </c>
      <c r="G79" s="13" t="s">
        <v>410</v>
      </c>
      <c r="H79" s="13" t="s">
        <v>427</v>
      </c>
      <c r="I79" s="13" t="s">
        <v>27</v>
      </c>
      <c r="J79" s="13" t="s">
        <v>444</v>
      </c>
      <c r="K79" s="15" t="s">
        <v>27</v>
      </c>
      <c r="L79" s="13">
        <v>76.5</v>
      </c>
      <c r="M79" s="13" t="s">
        <v>27</v>
      </c>
      <c r="N79" s="13" t="s">
        <v>27</v>
      </c>
      <c r="O79" s="13">
        <v>1450</v>
      </c>
      <c r="P79" s="13">
        <v>50</v>
      </c>
      <c r="R79" s="13" t="s">
        <v>461</v>
      </c>
      <c r="S79" s="13">
        <v>132.1</v>
      </c>
      <c r="T79" s="13">
        <v>55.3</v>
      </c>
      <c r="U79">
        <f>AVERAGE(42.1,40.3)</f>
        <v>41.2</v>
      </c>
      <c r="V79" s="12">
        <v>0.68333333333333335</v>
      </c>
      <c r="W79" s="15" t="s">
        <v>30</v>
      </c>
      <c r="X79" t="s">
        <v>478</v>
      </c>
    </row>
    <row r="80" spans="1:24" x14ac:dyDescent="0.2">
      <c r="A80" s="1">
        <v>79</v>
      </c>
      <c r="B80" s="2">
        <v>45857</v>
      </c>
      <c r="C80" s="13" t="s">
        <v>396</v>
      </c>
      <c r="D80" s="13" t="s">
        <v>24</v>
      </c>
      <c r="E80" s="12">
        <v>0.81388888888888888</v>
      </c>
      <c r="F80">
        <f>AVERAGE(39.7,40)</f>
        <v>39.85</v>
      </c>
      <c r="G80" s="13" t="s">
        <v>411</v>
      </c>
      <c r="H80" s="13" t="s">
        <v>428</v>
      </c>
      <c r="I80" s="13" t="s">
        <v>27</v>
      </c>
      <c r="J80" s="13" t="s">
        <v>445</v>
      </c>
      <c r="K80" s="15" t="s">
        <v>27</v>
      </c>
      <c r="L80" s="13">
        <v>86.8</v>
      </c>
      <c r="M80" s="15" t="s">
        <v>30</v>
      </c>
      <c r="N80" s="15" t="s">
        <v>30</v>
      </c>
      <c r="O80" s="13">
        <v>1820</v>
      </c>
      <c r="P80" s="13">
        <v>70</v>
      </c>
      <c r="R80" s="13" t="s">
        <v>462</v>
      </c>
      <c r="S80" s="13">
        <v>147.4</v>
      </c>
      <c r="T80" s="13">
        <v>60.7</v>
      </c>
      <c r="U80">
        <f>AVERAGE(42.9,42.1)</f>
        <v>42.5</v>
      </c>
      <c r="V80" s="12">
        <v>0.82499999999999996</v>
      </c>
      <c r="W80" t="s">
        <v>470</v>
      </c>
      <c r="X80" t="s">
        <v>471</v>
      </c>
    </row>
    <row r="81" spans="1:24" x14ac:dyDescent="0.2">
      <c r="A81" s="1">
        <v>80</v>
      </c>
      <c r="B81" s="2">
        <v>45857</v>
      </c>
      <c r="C81" s="13" t="s">
        <v>396</v>
      </c>
      <c r="D81" s="13" t="s">
        <v>24</v>
      </c>
      <c r="E81" s="12">
        <v>0.81388888888888888</v>
      </c>
      <c r="F81">
        <f>AVERAGE(40.8,40.8)</f>
        <v>40.799999999999997</v>
      </c>
      <c r="G81" s="13" t="s">
        <v>412</v>
      </c>
      <c r="H81" s="13" t="s">
        <v>429</v>
      </c>
      <c r="I81" s="13" t="s">
        <v>27</v>
      </c>
      <c r="J81" s="13" t="s">
        <v>446</v>
      </c>
      <c r="K81" s="15" t="s">
        <v>27</v>
      </c>
      <c r="L81" s="13">
        <v>81.5</v>
      </c>
      <c r="M81" s="15" t="s">
        <v>30</v>
      </c>
      <c r="N81" s="15" t="s">
        <v>30</v>
      </c>
      <c r="O81" s="13">
        <v>1490</v>
      </c>
      <c r="P81" s="13">
        <v>60</v>
      </c>
      <c r="R81" s="13" t="s">
        <v>463</v>
      </c>
      <c r="S81" s="13">
        <v>137.69999999999999</v>
      </c>
      <c r="T81" s="13">
        <v>54.4</v>
      </c>
      <c r="U81">
        <f>AVERAGE(40.1,38.5)</f>
        <v>39.299999999999997</v>
      </c>
      <c r="V81" s="12">
        <v>0.82499999999999996</v>
      </c>
      <c r="W81" s="15" t="s">
        <v>30</v>
      </c>
      <c r="X81" t="s">
        <v>472</v>
      </c>
    </row>
    <row r="82" spans="1:24" x14ac:dyDescent="0.2">
      <c r="A82" s="1">
        <v>81</v>
      </c>
      <c r="B82" s="2">
        <v>45857</v>
      </c>
      <c r="C82" s="13" t="s">
        <v>30</v>
      </c>
      <c r="D82" s="13" t="s">
        <v>24</v>
      </c>
      <c r="E82" s="12">
        <v>0.83680555555555558</v>
      </c>
      <c r="F82">
        <f>AVERAGE(34.5,32.9)</f>
        <v>33.700000000000003</v>
      </c>
      <c r="G82" s="13" t="s">
        <v>413</v>
      </c>
      <c r="H82" s="13" t="s">
        <v>430</v>
      </c>
      <c r="I82" s="13" t="s">
        <v>27</v>
      </c>
      <c r="J82" s="13" t="s">
        <v>447</v>
      </c>
      <c r="K82" s="15" t="s">
        <v>27</v>
      </c>
      <c r="L82" s="13">
        <v>73.7</v>
      </c>
      <c r="M82" s="15" t="s">
        <v>30</v>
      </c>
      <c r="N82" s="15" t="s">
        <v>30</v>
      </c>
      <c r="O82" s="13">
        <v>1260</v>
      </c>
      <c r="P82" s="13">
        <v>60</v>
      </c>
      <c r="R82" s="13" t="s">
        <v>464</v>
      </c>
      <c r="S82" s="13">
        <v>127.8</v>
      </c>
      <c r="T82" s="13">
        <v>54.6</v>
      </c>
      <c r="U82">
        <f>AVERAGE(39.3,39.3)</f>
        <v>39.299999999999997</v>
      </c>
      <c r="V82" s="12">
        <v>0.84513888888888888</v>
      </c>
      <c r="W82" s="15" t="s">
        <v>30</v>
      </c>
      <c r="X82" t="s">
        <v>479</v>
      </c>
    </row>
    <row r="83" spans="1:24" x14ac:dyDescent="0.2">
      <c r="A83" s="1">
        <v>82</v>
      </c>
      <c r="B83" s="2">
        <v>45857</v>
      </c>
      <c r="C83" s="13" t="s">
        <v>397</v>
      </c>
      <c r="D83" s="13" t="s">
        <v>24</v>
      </c>
      <c r="E83" s="12">
        <v>0.86111111111111116</v>
      </c>
      <c r="F83">
        <f>AVERAGE(34.7,31.8)</f>
        <v>33.25</v>
      </c>
      <c r="G83" s="13" t="s">
        <v>414</v>
      </c>
      <c r="H83" s="13" t="s">
        <v>431</v>
      </c>
      <c r="I83" s="13" t="s">
        <v>27</v>
      </c>
      <c r="J83" s="13" t="s">
        <v>448</v>
      </c>
      <c r="K83" s="15" t="s">
        <v>27</v>
      </c>
      <c r="L83" s="13">
        <v>79.2</v>
      </c>
      <c r="M83" s="15" t="s">
        <v>30</v>
      </c>
      <c r="N83" s="15" t="s">
        <v>30</v>
      </c>
      <c r="O83" s="13">
        <v>1530</v>
      </c>
      <c r="P83" s="13">
        <v>60</v>
      </c>
      <c r="R83" s="13" t="s">
        <v>465</v>
      </c>
      <c r="S83" s="13">
        <v>136.4</v>
      </c>
      <c r="T83" s="13">
        <v>51.3</v>
      </c>
      <c r="U83">
        <f>AVERAGE(40.7,38.5)</f>
        <v>39.6</v>
      </c>
      <c r="V83" s="12">
        <v>0.87361111111111112</v>
      </c>
      <c r="W83" s="15" t="s">
        <v>30</v>
      </c>
      <c r="X83" t="s">
        <v>30</v>
      </c>
    </row>
    <row r="84" spans="1:24" x14ac:dyDescent="0.2">
      <c r="B84" s="2">
        <v>45858</v>
      </c>
      <c r="C84" s="13" t="s">
        <v>480</v>
      </c>
      <c r="D84" s="13" t="s">
        <v>24</v>
      </c>
      <c r="E84" s="12">
        <v>0.29652777777777778</v>
      </c>
      <c r="F84">
        <f>AVERAGE(22.5,21.9)</f>
        <v>22.2</v>
      </c>
    </row>
    <row r="85" spans="1:24" x14ac:dyDescent="0.2">
      <c r="B85" s="2">
        <v>45858</v>
      </c>
      <c r="C85" s="13" t="s">
        <v>480</v>
      </c>
      <c r="D85" s="13" t="s">
        <v>24</v>
      </c>
      <c r="E85" s="12">
        <v>0.29652777777777778</v>
      </c>
    </row>
    <row r="86" spans="1:24" x14ac:dyDescent="0.2">
      <c r="B86" s="2">
        <v>45858</v>
      </c>
      <c r="C86" s="13" t="s">
        <v>30</v>
      </c>
      <c r="D86" s="13" t="s">
        <v>24</v>
      </c>
      <c r="E86" s="12">
        <v>0.32013888888888886</v>
      </c>
    </row>
    <row r="87" spans="1:24" x14ac:dyDescent="0.2">
      <c r="B87" s="2">
        <v>45858</v>
      </c>
      <c r="C87" s="13" t="s">
        <v>30</v>
      </c>
      <c r="D87" s="13" t="s">
        <v>24</v>
      </c>
      <c r="E87" s="12">
        <v>0.32013888888888886</v>
      </c>
    </row>
    <row r="88" spans="1:24" x14ac:dyDescent="0.2">
      <c r="B88" s="2">
        <v>45858</v>
      </c>
      <c r="C88" s="13" t="s">
        <v>481</v>
      </c>
      <c r="D88" s="13" t="s">
        <v>24</v>
      </c>
      <c r="E88" s="12">
        <v>0.35416666666666669</v>
      </c>
    </row>
    <row r="89" spans="1:24" x14ac:dyDescent="0.2">
      <c r="B89" s="2">
        <v>45858</v>
      </c>
      <c r="C89" s="13" t="s">
        <v>481</v>
      </c>
      <c r="D89" s="13" t="s">
        <v>24</v>
      </c>
      <c r="E89" s="12">
        <v>0.35416666666666669</v>
      </c>
    </row>
    <row r="90" spans="1:24" x14ac:dyDescent="0.2">
      <c r="B90" s="2">
        <v>45858</v>
      </c>
      <c r="C90" s="13" t="s">
        <v>30</v>
      </c>
      <c r="D90" s="13" t="s">
        <v>24</v>
      </c>
      <c r="E90" s="12">
        <v>0.40138888888888891</v>
      </c>
    </row>
    <row r="91" spans="1:24" x14ac:dyDescent="0.2">
      <c r="B91" s="2">
        <v>45858</v>
      </c>
      <c r="C91" s="13" t="s">
        <v>30</v>
      </c>
      <c r="D91" s="13" t="s">
        <v>24</v>
      </c>
      <c r="E91" s="12">
        <v>0.40138888888888891</v>
      </c>
    </row>
    <row r="92" spans="1:24" x14ac:dyDescent="0.2">
      <c r="B92" s="2">
        <v>45858</v>
      </c>
      <c r="C92" s="13" t="s">
        <v>30</v>
      </c>
      <c r="D92" s="13" t="s">
        <v>24</v>
      </c>
      <c r="E92" s="12">
        <v>0.52638888888888891</v>
      </c>
    </row>
    <row r="93" spans="1:24" x14ac:dyDescent="0.2">
      <c r="B93" s="2">
        <v>45858</v>
      </c>
      <c r="C93" s="13" t="s">
        <v>30</v>
      </c>
      <c r="D93" s="13" t="s">
        <v>24</v>
      </c>
      <c r="E93" s="12">
        <v>0.55000000000000004</v>
      </c>
    </row>
    <row r="94" spans="1:24" x14ac:dyDescent="0.2">
      <c r="B94" s="2">
        <v>45858</v>
      </c>
      <c r="C94" s="13" t="s">
        <v>30</v>
      </c>
      <c r="D94" s="13" t="s">
        <v>24</v>
      </c>
      <c r="E94" s="12">
        <v>0.56597222222222221</v>
      </c>
    </row>
    <row r="95" spans="1:24" x14ac:dyDescent="0.2">
      <c r="B95" s="2">
        <v>45858</v>
      </c>
      <c r="C95" s="13" t="s">
        <v>30</v>
      </c>
      <c r="D95" s="13" t="s">
        <v>24</v>
      </c>
      <c r="E95" s="12">
        <v>0.57777777777777772</v>
      </c>
    </row>
    <row r="96" spans="1:24" x14ac:dyDescent="0.2">
      <c r="B96" s="2">
        <v>45858</v>
      </c>
      <c r="C96" s="13" t="s">
        <v>30</v>
      </c>
      <c r="D96" s="13" t="s">
        <v>24</v>
      </c>
      <c r="E96" s="12">
        <v>0.57777777777777772</v>
      </c>
    </row>
    <row r="97" spans="2:5" x14ac:dyDescent="0.2">
      <c r="B97" s="2">
        <v>45858</v>
      </c>
      <c r="C97" s="13" t="s">
        <v>30</v>
      </c>
      <c r="D97" s="13" t="s">
        <v>24</v>
      </c>
      <c r="E97" s="12">
        <v>0.5805555555555556</v>
      </c>
    </row>
    <row r="98" spans="2:5" x14ac:dyDescent="0.2">
      <c r="B98" s="2">
        <v>45858</v>
      </c>
      <c r="C98" s="13" t="s">
        <v>30</v>
      </c>
      <c r="D98" s="13" t="s">
        <v>24</v>
      </c>
      <c r="E98" s="12">
        <v>0.6118055555555556</v>
      </c>
    </row>
    <row r="99" spans="2:5" x14ac:dyDescent="0.2">
      <c r="B99" s="2">
        <v>45858</v>
      </c>
      <c r="C99" s="13" t="s">
        <v>30</v>
      </c>
      <c r="D99" s="13" t="s">
        <v>24</v>
      </c>
      <c r="E99" s="12">
        <v>0.6118055555555556</v>
      </c>
    </row>
    <row r="100" spans="2:5" x14ac:dyDescent="0.2">
      <c r="B100" s="2">
        <v>45858</v>
      </c>
      <c r="C100" s="13" t="s">
        <v>30</v>
      </c>
      <c r="D100" s="13" t="s">
        <v>24</v>
      </c>
      <c r="E100" s="12">
        <v>0.67777777777777781</v>
      </c>
    </row>
    <row r="101" spans="2:5" x14ac:dyDescent="0.2">
      <c r="B101" s="2">
        <v>45858</v>
      </c>
      <c r="C101" s="13" t="s">
        <v>30</v>
      </c>
      <c r="D101" s="13" t="s">
        <v>24</v>
      </c>
      <c r="E101" s="12">
        <v>0.68333333333333335</v>
      </c>
    </row>
    <row r="102" spans="2:5" x14ac:dyDescent="0.2">
      <c r="B102" s="2"/>
      <c r="C102" s="13"/>
      <c r="D102" s="13"/>
    </row>
  </sheetData>
  <sortState xmlns:xlrd2="http://schemas.microsoft.com/office/spreadsheetml/2017/richdata2" ref="A2:X48">
    <sortCondition ref="A2:A48"/>
  </sortState>
  <phoneticPr fontId="3" type="noConversion"/>
  <hyperlinks>
    <hyperlink ref="X7" r:id="rId1" display="?L@" xr:uid="{C29A3A85-B2A2-5F4A-A39F-724B519071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36D7A-D369-BD41-AC33-9127E64E2769}">
  <dimension ref="A1:W6"/>
  <sheetViews>
    <sheetView workbookViewId="0">
      <selection activeCell="T6" sqref="T6"/>
    </sheetView>
  </sheetViews>
  <sheetFormatPr baseColWidth="10" defaultRowHeight="16" x14ac:dyDescent="0.2"/>
  <sheetData>
    <row r="1" spans="1:23" ht="17" thickBo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271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1" t="s">
        <v>22</v>
      </c>
    </row>
    <row r="2" spans="1:23" x14ac:dyDescent="0.2">
      <c r="A2" s="7"/>
      <c r="B2" s="7" t="s">
        <v>272</v>
      </c>
      <c r="C2" s="7" t="s">
        <v>24</v>
      </c>
      <c r="D2" s="8">
        <v>0.40972222222222221</v>
      </c>
      <c r="E2" s="7">
        <v>30.8</v>
      </c>
      <c r="F2" s="7" t="s">
        <v>279</v>
      </c>
      <c r="G2" s="7" t="s">
        <v>280</v>
      </c>
      <c r="H2" s="7" t="s">
        <v>27</v>
      </c>
      <c r="I2" s="7" t="s">
        <v>281</v>
      </c>
      <c r="J2" s="7" t="s">
        <v>27</v>
      </c>
      <c r="K2" s="7">
        <v>68.900000000000006</v>
      </c>
      <c r="L2" s="7" t="s">
        <v>282</v>
      </c>
      <c r="M2" s="7" t="s">
        <v>30</v>
      </c>
      <c r="N2" s="7">
        <v>970</v>
      </c>
      <c r="O2" s="7">
        <v>60</v>
      </c>
      <c r="P2" s="7"/>
      <c r="Q2" s="7" t="s">
        <v>283</v>
      </c>
      <c r="R2" s="7">
        <v>103.6</v>
      </c>
      <c r="S2" s="7" t="s">
        <v>30</v>
      </c>
      <c r="T2" s="7">
        <v>37.700000000000003</v>
      </c>
      <c r="U2" s="8">
        <v>0.42499999999999999</v>
      </c>
      <c r="V2" s="7" t="s">
        <v>284</v>
      </c>
      <c r="W2" s="7"/>
    </row>
    <row r="3" spans="1:23" x14ac:dyDescent="0.2">
      <c r="A3" s="2">
        <v>45839</v>
      </c>
      <c r="B3" s="1" t="s">
        <v>272</v>
      </c>
      <c r="C3" s="1" t="s">
        <v>24</v>
      </c>
      <c r="D3" s="3">
        <v>0.40972222222222221</v>
      </c>
      <c r="E3" s="1">
        <v>30.4</v>
      </c>
      <c r="F3" s="1" t="s">
        <v>273</v>
      </c>
      <c r="G3" s="1" t="s">
        <v>274</v>
      </c>
      <c r="H3" s="1" t="s">
        <v>27</v>
      </c>
      <c r="I3" s="1" t="s">
        <v>275</v>
      </c>
      <c r="J3" s="1" t="s">
        <v>27</v>
      </c>
      <c r="K3" s="1">
        <v>74</v>
      </c>
      <c r="L3" s="1" t="s">
        <v>276</v>
      </c>
      <c r="M3" s="1" t="s">
        <v>30</v>
      </c>
      <c r="N3" s="1">
        <v>1140</v>
      </c>
      <c r="O3" s="1">
        <v>60</v>
      </c>
      <c r="P3" s="1"/>
      <c r="Q3" s="1" t="s">
        <v>277</v>
      </c>
      <c r="R3" s="1">
        <v>113.6</v>
      </c>
      <c r="S3" s="1" t="s">
        <v>30</v>
      </c>
      <c r="T3" s="1">
        <v>42.9</v>
      </c>
      <c r="U3" s="3">
        <v>0.42499999999999999</v>
      </c>
      <c r="V3" s="1" t="s">
        <v>278</v>
      </c>
      <c r="W3" s="1"/>
    </row>
    <row r="4" spans="1:23" x14ac:dyDescent="0.2">
      <c r="A4" s="1"/>
      <c r="B4" s="1" t="s">
        <v>285</v>
      </c>
      <c r="C4" s="1" t="s">
        <v>24</v>
      </c>
      <c r="D4" s="3">
        <v>0.45833333333333331</v>
      </c>
      <c r="E4" s="1">
        <v>37.799999999999997</v>
      </c>
      <c r="F4" s="1" t="s">
        <v>291</v>
      </c>
      <c r="G4" s="1" t="s">
        <v>292</v>
      </c>
      <c r="H4" s="1" t="s">
        <v>27</v>
      </c>
      <c r="I4" s="1" t="s">
        <v>293</v>
      </c>
      <c r="J4" s="1" t="s">
        <v>27</v>
      </c>
      <c r="K4" s="1">
        <v>64.5</v>
      </c>
      <c r="L4" s="1" t="s">
        <v>294</v>
      </c>
      <c r="M4" s="1" t="s">
        <v>30</v>
      </c>
      <c r="N4" s="1">
        <v>830</v>
      </c>
      <c r="O4" s="1">
        <v>80</v>
      </c>
      <c r="P4" s="1"/>
      <c r="Q4" s="1" t="s">
        <v>295</v>
      </c>
      <c r="R4" s="1">
        <v>91</v>
      </c>
      <c r="S4" s="1" t="s">
        <v>30</v>
      </c>
      <c r="T4" s="1">
        <v>28.5</v>
      </c>
      <c r="U4" s="3">
        <v>0.47222222222222221</v>
      </c>
      <c r="V4" s="1" t="s">
        <v>30</v>
      </c>
      <c r="W4" s="1"/>
    </row>
    <row r="5" spans="1:23" x14ac:dyDescent="0.2">
      <c r="A5" s="1"/>
      <c r="B5" s="1" t="s">
        <v>285</v>
      </c>
      <c r="C5" s="1" t="s">
        <v>24</v>
      </c>
      <c r="D5" s="3">
        <v>0.45833333333333331</v>
      </c>
      <c r="E5" s="1">
        <v>34.799999999999997</v>
      </c>
      <c r="F5" s="1" t="s">
        <v>286</v>
      </c>
      <c r="G5" s="1" t="s">
        <v>287</v>
      </c>
      <c r="H5" s="1" t="s">
        <v>27</v>
      </c>
      <c r="I5" s="1" t="s">
        <v>288</v>
      </c>
      <c r="J5" s="1" t="s">
        <v>27</v>
      </c>
      <c r="K5" s="1">
        <v>70</v>
      </c>
      <c r="L5" s="1" t="s">
        <v>289</v>
      </c>
      <c r="M5" s="1" t="s">
        <v>30</v>
      </c>
      <c r="N5" s="1">
        <v>1000</v>
      </c>
      <c r="O5" s="1">
        <v>80</v>
      </c>
      <c r="P5" s="1"/>
      <c r="Q5" s="1" t="s">
        <v>290</v>
      </c>
      <c r="R5" s="1">
        <v>110.1</v>
      </c>
      <c r="S5" s="1" t="s">
        <v>30</v>
      </c>
      <c r="T5" s="1">
        <v>41.2</v>
      </c>
      <c r="U5" s="3">
        <v>0.47222222222222221</v>
      </c>
      <c r="V5" s="1" t="s">
        <v>30</v>
      </c>
      <c r="W5" s="1"/>
    </row>
    <row r="6" spans="1:23" x14ac:dyDescent="0.2">
      <c r="A6" s="1"/>
      <c r="B6" s="1" t="s">
        <v>272</v>
      </c>
      <c r="C6" s="1" t="s">
        <v>24</v>
      </c>
      <c r="D6" s="3">
        <v>0.4777777777777778</v>
      </c>
      <c r="E6" s="1">
        <v>32.5</v>
      </c>
      <c r="F6" s="1" t="s">
        <v>296</v>
      </c>
      <c r="G6" s="1" t="s">
        <v>297</v>
      </c>
      <c r="H6" s="1" t="s">
        <v>27</v>
      </c>
      <c r="I6" s="1" t="s">
        <v>298</v>
      </c>
      <c r="J6" s="1" t="s">
        <v>27</v>
      </c>
      <c r="K6" s="1">
        <v>66.3</v>
      </c>
      <c r="L6" s="1" t="s">
        <v>299</v>
      </c>
      <c r="M6" s="1" t="s">
        <v>30</v>
      </c>
      <c r="N6" s="1">
        <v>900</v>
      </c>
      <c r="O6" s="1">
        <v>80</v>
      </c>
      <c r="P6" s="1"/>
      <c r="Q6" s="1" t="s">
        <v>300</v>
      </c>
      <c r="R6" s="1">
        <v>103</v>
      </c>
      <c r="S6" s="1" t="s">
        <v>30</v>
      </c>
      <c r="T6" s="1">
        <v>42.3</v>
      </c>
      <c r="U6" s="3">
        <v>0.48680555555555555</v>
      </c>
      <c r="V6" s="1" t="s">
        <v>30</v>
      </c>
      <c r="W6" s="1"/>
    </row>
  </sheetData>
  <sortState xmlns:xlrd2="http://schemas.microsoft.com/office/spreadsheetml/2017/richdata2" ref="A2:W6">
    <sortCondition ref="Q2:Q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GBBG</vt:lpstr>
      <vt:lpstr>HERG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 Dain</dc:creator>
  <cp:lastModifiedBy>Jonathan B Dain</cp:lastModifiedBy>
  <dcterms:created xsi:type="dcterms:W3CDTF">2025-07-03T09:14:30Z</dcterms:created>
  <dcterms:modified xsi:type="dcterms:W3CDTF">2025-08-21T14:34:39Z</dcterms:modified>
</cp:coreProperties>
</file>